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ffortEstimation" sheetId="1" state="visible" r:id="rId3"/>
    <sheet name="AssumptionsExclussions" sheetId="2" state="visible" r:id="rId4"/>
    <sheet name="WP-Weekly (260105-2132)" sheetId="3" state="visible" r:id="rId5"/>
    <sheet name="BaseLine (260105-2132)" sheetId="4" state="visible" r:id="rId6"/>
    <sheet name="Internal (260105-2132)" sheetId="5" state="visible" r:id="rId7"/>
    <sheet name="External (260105-2132)" sheetId="6" state="visible" r:id="rId8"/>
  </sheets>
  <definedNames>
    <definedName function="false" hidden="true" localSheetId="0" name="_xlnm._FilterDatabase" vbProcedure="false">EffortEstimation!$A$1:$T$29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1" authorId="0">
      <text>
        <r>
          <rPr>
            <sz val="10"/>
            <rFont val="Arial"/>
            <family val="2"/>
          </rPr>
          <t xml:space="preserve">tc={006D0031-00C2-4B6D-A1E2-00DB005A00B1}:
</t>
        </r>
        <r>
          <rPr>
            <sz val="9"/>
            <rFont val="Tahoma"/>
            <family val="0"/>
            <charset val="1"/>
          </rPr>
          <t xml:space="preserve">Reyes, Ivan (Nokia - JP/Tokyo):
Internal
External
Central Subco
</t>
        </r>
      </text>
    </comment>
    <comment ref="N1" authorId="0">
      <text>
        <r>
          <rPr>
            <sz val="10"/>
            <rFont val="Arial"/>
            <family val="2"/>
          </rPr>
          <t xml:space="preserve">tc={00D800DA-0019-42F4-ACE2-005900F200A2}:
</t>
        </r>
        <r>
          <rPr>
            <sz val="9"/>
            <rFont val="Tahoma"/>
            <family val="0"/>
            <charset val="1"/>
          </rPr>
          <t xml:space="preserve">Reyes, Ivan (Nokia - JP/Tokyo):
Onsite
Remote
</t>
        </r>
      </text>
    </comment>
    <comment ref="R1" authorId="0">
      <text>
        <r>
          <rPr>
            <sz val="10"/>
            <rFont val="Arial"/>
            <family val="2"/>
          </rPr>
          <t xml:space="preserve">tc={008300B6-008D-41F8-A30B-0077004100CD}:
</t>
        </r>
        <r>
          <rPr>
            <sz val="9"/>
            <rFont val="Tahoma"/>
            <family val="0"/>
            <charset val="1"/>
          </rPr>
          <t xml:space="preserve">Reyes, Ivan (Nokia - JP/Tokyo):
Internal
External
Central Subco
</t>
        </r>
      </text>
    </comment>
  </commentList>
</comments>
</file>

<file path=xl/sharedStrings.xml><?xml version="1.0" encoding="utf-8"?>
<sst xmlns="http://schemas.openxmlformats.org/spreadsheetml/2006/main" count="895" uniqueCount="191">
  <si>
    <t xml:space="preserve">Site</t>
  </si>
  <si>
    <t xml:space="preserve">Category</t>
  </si>
  <si>
    <t xml:space="preserve">Product</t>
  </si>
  <si>
    <t xml:space="preserve">WP</t>
  </si>
  <si>
    <t xml:space="preserve">WP-ID</t>
  </si>
  <si>
    <t xml:space="preserve">Unit</t>
  </si>
  <si>
    <t xml:space="preserve">Effort</t>
  </si>
  <si>
    <t xml:space="preserve">Comment</t>
  </si>
  <si>
    <t xml:space="preserve">Tuning Factor</t>
  </si>
  <si>
    <t xml:space="preserve">Qty</t>
  </si>
  <si>
    <t xml:space="preserve">Total</t>
  </si>
  <si>
    <t xml:space="preserve">Role</t>
  </si>
  <si>
    <t xml:space="preserve">Resource Category</t>
  </si>
  <si>
    <t xml:space="preserve">Support Type</t>
  </si>
  <si>
    <t xml:space="preserve">SPC</t>
  </si>
  <si>
    <t xml:space="preserve">Rate</t>
  </si>
  <si>
    <t xml:space="preserve">Cost</t>
  </si>
  <si>
    <t xml:space="preserve">Resource Name</t>
  </si>
  <si>
    <t xml:space="preserve">Start Date</t>
  </si>
  <si>
    <t xml:space="preserve">End Date</t>
  </si>
  <si>
    <t xml:space="preserve">Solution</t>
  </si>
  <si>
    <t xml:space="preserve">DES</t>
  </si>
  <si>
    <t xml:space="preserve">HLD medium complexity</t>
  </si>
  <si>
    <t xml:space="preserve">DES-SOL-002</t>
  </si>
  <si>
    <t xml:space="preserve">Solution Level</t>
  </si>
  <si>
    <t xml:space="preserve">SA</t>
  </si>
  <si>
    <t xml:space="preserve">Internal</t>
  </si>
  <si>
    <t xml:space="preserve">Onsite</t>
  </si>
  <si>
    <t xml:space="preserve">JP</t>
  </si>
  <si>
    <t xml:space="preserve">Lab</t>
  </si>
  <si>
    <t xml:space="preserve">CMG</t>
  </si>
  <si>
    <t xml:space="preserve">CMG 1st node LLD (including CIQ)</t>
  </si>
  <si>
    <t xml:space="preserve">DES-CMG-001</t>
  </si>
  <si>
    <t xml:space="preserve">per node</t>
  </si>
  <si>
    <t xml:space="preserve">CMGa2-SMFx1 &amp; CMGa2-UPF-Ux1</t>
  </si>
  <si>
    <t xml:space="preserve">Designer-CMG</t>
  </si>
  <si>
    <t xml:space="preserve">Remote</t>
  </si>
  <si>
    <t xml:space="preserve">IN</t>
  </si>
  <si>
    <t xml:space="preserve">CMG Subsequent LLD</t>
  </si>
  <si>
    <t xml:space="preserve">DES-CMG-002</t>
  </si>
  <si>
    <t xml:space="preserve">I&amp;I</t>
  </si>
  <si>
    <t xml:space="preserve">CMG_I&amp;I_MOP - Installation and Integration - VNF / CNF Onboarding - Method of Procedure Creation / Update</t>
  </si>
  <si>
    <t xml:space="preserve">CO.PC.JP.102</t>
  </si>
  <si>
    <t xml:space="preserve">1 x Node</t>
  </si>
  <si>
    <t xml:space="preserve">SME-CMG</t>
  </si>
  <si>
    <t xml:space="preserve">External</t>
  </si>
  <si>
    <t xml:space="preserve">CMG_ I&amp;I_ EXEC - Installation and Integration - VNF / CNF Onboarding - MOP Execution (operator and checker)</t>
  </si>
  <si>
    <t xml:space="preserve">CO.PC.JP.105</t>
  </si>
  <si>
    <t xml:space="preserve">CMGa2-SMFx2 &amp; CMGa2-UPF-Ux2</t>
  </si>
  <si>
    <t xml:space="preserve">CMG_ I&amp;I_INTG - Installation and Integration - System Element Integration: Northbound interfaces (operator and checker)</t>
  </si>
  <si>
    <t xml:space="preserve">CO.PC.JP.111</t>
  </si>
  <si>
    <t xml:space="preserve">TechMgmt</t>
  </si>
  <si>
    <t xml:space="preserve">Site Manager</t>
  </si>
  <si>
    <t xml:space="preserve">TM-Gen-011</t>
  </si>
  <si>
    <t xml:space="preserve">Site Level</t>
  </si>
  <si>
    <t xml:space="preserve">Site-Manager</t>
  </si>
  <si>
    <t xml:space="preserve">ATP</t>
  </si>
  <si>
    <t xml:space="preserve">CMG Test Case List Creation (80 TC's)</t>
  </si>
  <si>
    <t xml:space="preserve">ATP-CMG-001</t>
  </si>
  <si>
    <t xml:space="preserve">per product (80 TC's)</t>
  </si>
  <si>
    <t xml:space="preserve">160 Test Cases - 8 Weeks</t>
  </si>
  <si>
    <t xml:space="preserve">CMG_DES_TDD- Design- Creation of Test Case Description Document including CLI and Expected Outputs</t>
  </si>
  <si>
    <t xml:space="preserve">CO.PC.JP.114</t>
  </si>
  <si>
    <t xml:space="preserve">80 x TCs</t>
  </si>
  <si>
    <t xml:space="preserve">SA support in phase with medium involvement</t>
  </si>
  <si>
    <t xml:space="preserve">TM-Gen-002</t>
  </si>
  <si>
    <t xml:space="preserve">Project Level</t>
  </si>
  <si>
    <t xml:space="preserve">ATP QA Support [8 Weeks]</t>
  </si>
  <si>
    <t xml:space="preserve">Production</t>
  </si>
  <si>
    <t xml:space="preserve">CMGa2-SMFx16 &amp; CMGa2-UPF-Ux16</t>
  </si>
  <si>
    <t xml:space="preserve">CMG_ I&amp;I_ MOP  - Installation and Integration -  Configuration Change - Method of Procedure Creation / Update</t>
  </si>
  <si>
    <t xml:space="preserve">CO.PC.JP.103</t>
  </si>
  <si>
    <t xml:space="preserve">Small FNI</t>
  </si>
  <si>
    <t xml:space="preserve">CMG_ I&amp;I_ EXEC  - Installation and Integration -  Configuration Change - MOP Execution (operator and checker)</t>
  </si>
  <si>
    <t xml:space="preserve">CO.PC.JP.108</t>
  </si>
  <si>
    <t xml:space="preserve">CMG_F_BSM - Field activities, including ATP - Babysitting / System Monitoring (operator and checker)</t>
  </si>
  <si>
    <t xml:space="preserve">CO.PC.JP.119</t>
  </si>
  <si>
    <t xml:space="preserve">1 x Week</t>
  </si>
  <si>
    <t xml:space="preserve">Small FNI - 1Week Monitoring</t>
  </si>
  <si>
    <t xml:space="preserve">Large FNI</t>
  </si>
  <si>
    <t xml:space="preserve">Large FNI - 1Week Monitoring</t>
  </si>
  <si>
    <t xml:space="preserve">FNI QA Support</t>
  </si>
  <si>
    <t xml:space="preserve">General</t>
  </si>
  <si>
    <t xml:space="preserve">SA support in phase with low involvement</t>
  </si>
  <si>
    <t xml:space="preserve">TM-Gen-001</t>
  </si>
  <si>
    <t xml:space="preserve">TPM support in phase with medium involvement</t>
  </si>
  <si>
    <t xml:space="preserve">TM-Gen-005</t>
  </si>
  <si>
    <t xml:space="preserve">TPM</t>
  </si>
  <si>
    <t xml:space="preserve">TDL support in phase with low involvement</t>
  </si>
  <si>
    <t xml:space="preserve">TM-Gen-007</t>
  </si>
  <si>
    <t xml:space="preserve">TDL</t>
  </si>
  <si>
    <t xml:space="preserve">Phase</t>
  </si>
  <si>
    <t xml:space="preserve">Type</t>
  </si>
  <si>
    <t xml:space="preserve">Description</t>
  </si>
  <si>
    <t xml:space="preserve">Exclusion</t>
  </si>
  <si>
    <t xml:space="preserve">SB is responsible for the ToL and TD creation</t>
  </si>
  <si>
    <t xml:space="preserve">Assumption</t>
  </si>
  <si>
    <t xml:space="preserve">Nokia will have to review the ToL and TD documents provided by SB</t>
  </si>
  <si>
    <t xml:space="preserve">BP Phase</t>
  </si>
  <si>
    <t xml:space="preserve">BP Work Package</t>
  </si>
  <si>
    <t xml:space="preserve">BP Work Item</t>
  </si>
  <si>
    <t xml:space="preserve">BP Role</t>
  </si>
  <si>
    <t xml:space="preserve">2026W13</t>
  </si>
  <si>
    <t xml:space="preserve">2026W14</t>
  </si>
  <si>
    <t xml:space="preserve">2026W15</t>
  </si>
  <si>
    <t xml:space="preserve">2026W16</t>
  </si>
  <si>
    <t xml:space="preserve">2026W17</t>
  </si>
  <si>
    <t xml:space="preserve">2026W18</t>
  </si>
  <si>
    <t xml:space="preserve">2026W19</t>
  </si>
  <si>
    <t xml:space="preserve">2026W20</t>
  </si>
  <si>
    <t xml:space="preserve">2026W21</t>
  </si>
  <si>
    <t xml:space="preserve">2026W22</t>
  </si>
  <si>
    <t xml:space="preserve">2026W23</t>
  </si>
  <si>
    <t xml:space="preserve">2026W24</t>
  </si>
  <si>
    <t xml:space="preserve">2026W25</t>
  </si>
  <si>
    <t xml:space="preserve">2026W26</t>
  </si>
  <si>
    <t xml:space="preserve">2026W27</t>
  </si>
  <si>
    <t xml:space="preserve">2026W28</t>
  </si>
  <si>
    <t xml:space="preserve">2026W29</t>
  </si>
  <si>
    <t xml:space="preserve">2026W30</t>
  </si>
  <si>
    <t xml:space="preserve">2026W31</t>
  </si>
  <si>
    <t xml:space="preserve">2026W32</t>
  </si>
  <si>
    <t xml:space="preserve">2026W33</t>
  </si>
  <si>
    <t xml:space="preserve">2026W34</t>
  </si>
  <si>
    <t xml:space="preserve">2026W35</t>
  </si>
  <si>
    <t xml:space="preserve">2026W36</t>
  </si>
  <si>
    <t xml:space="preserve">2026W37</t>
  </si>
  <si>
    <t xml:space="preserve">2026W38</t>
  </si>
  <si>
    <t xml:space="preserve">2026W39</t>
  </si>
  <si>
    <t xml:space="preserve">2026W40</t>
  </si>
  <si>
    <t xml:space="preserve">2026W41</t>
  </si>
  <si>
    <t xml:space="preserve">2026W42</t>
  </si>
  <si>
    <t xml:space="preserve">2026W43</t>
  </si>
  <si>
    <t xml:space="preserve">2026W44</t>
  </si>
  <si>
    <t xml:space="preserve">2026W45</t>
  </si>
  <si>
    <t xml:space="preserve">2026W46</t>
  </si>
  <si>
    <t xml:space="preserve">2026W47</t>
  </si>
  <si>
    <t xml:space="preserve">2026W48</t>
  </si>
  <si>
    <t xml:space="preserve">2026W49</t>
  </si>
  <si>
    <t xml:space="preserve">2026W50</t>
  </si>
  <si>
    <t xml:space="preserve">2026W51</t>
  </si>
  <si>
    <t xml:space="preserve">2026W52</t>
  </si>
  <si>
    <t xml:space="preserve">2027W01</t>
  </si>
  <si>
    <t xml:space="preserve">2027W02</t>
  </si>
  <si>
    <t xml:space="preserve">2027W03</t>
  </si>
  <si>
    <t xml:space="preserve">2027W04</t>
  </si>
  <si>
    <t xml:space="preserve">2027W05</t>
  </si>
  <si>
    <t xml:space="preserve">2027W06</t>
  </si>
  <si>
    <t xml:space="preserve">2027W07</t>
  </si>
  <si>
    <t xml:space="preserve">2027W08</t>
  </si>
  <si>
    <t xml:space="preserve">RAD (I1 to I2)</t>
  </si>
  <si>
    <t xml:space="preserve">CN PACO DESIGN</t>
  </si>
  <si>
    <t xml:space="preserve">PACO HLD</t>
  </si>
  <si>
    <t xml:space="preserve">Local SA</t>
  </si>
  <si>
    <t xml:space="preserve">PACO LLD</t>
  </si>
  <si>
    <t xml:space="preserve">Remote SA</t>
  </si>
  <si>
    <t xml:space="preserve">I&amp;C (I2 to I3)</t>
  </si>
  <si>
    <t xml:space="preserve">CN PACO IMPLEMENTATION</t>
  </si>
  <si>
    <t xml:space="preserve">PACO SW INSTALLATION</t>
  </si>
  <si>
    <t xml:space="preserve">Local SE</t>
  </si>
  <si>
    <t xml:space="preserve">INT (I3 to I4)</t>
  </si>
  <si>
    <t xml:space="preserve">CN PACO INTEGRATION AND VALIDATION</t>
  </si>
  <si>
    <t xml:space="preserve">PACO INTEGRATION</t>
  </si>
  <si>
    <t xml:space="preserve">PACO SYSTEM VALIDATION STRATEGY</t>
  </si>
  <si>
    <t xml:space="preserve">ACC (I4 to I5)</t>
  </si>
  <si>
    <t xml:space="preserve">CN PACO ACCEPTANCE</t>
  </si>
  <si>
    <t xml:space="preserve">PACO ACCEPTANCE TEST</t>
  </si>
  <si>
    <t xml:space="preserve">Project Closure</t>
  </si>
  <si>
    <t xml:space="preserve">CN PACO LAUNCH SUPPORT AND OJT</t>
  </si>
  <si>
    <t xml:space="preserve">PACO INITIAL OPERATION SUPPORT</t>
  </si>
  <si>
    <t xml:space="preserve">CN PACO TECHNICAL MANAGEMENT</t>
  </si>
  <si>
    <t xml:space="preserve">PACO TECHNICAL MANAGEMENT</t>
  </si>
  <si>
    <t xml:space="preserve">Local TM</t>
  </si>
  <si>
    <t xml:space="preserve">PACO DELIVERY MANAGEMENT</t>
  </si>
  <si>
    <t xml:space="preserve">Remote TDL</t>
  </si>
  <si>
    <t xml:space="preserve">Total [MWD]</t>
  </si>
  <si>
    <t xml:space="preserve">2026P04</t>
  </si>
  <si>
    <t xml:space="preserve">2026P05</t>
  </si>
  <si>
    <t xml:space="preserve">2026P06</t>
  </si>
  <si>
    <t xml:space="preserve">2026P07</t>
  </si>
  <si>
    <t xml:space="preserve">2026P08</t>
  </si>
  <si>
    <t xml:space="preserve">2026P09</t>
  </si>
  <si>
    <t xml:space="preserve">2026P10</t>
  </si>
  <si>
    <t xml:space="preserve">2026P11</t>
  </si>
  <si>
    <t xml:space="preserve">2026P12</t>
  </si>
  <si>
    <t xml:space="preserve">2027P01</t>
  </si>
  <si>
    <t xml:space="preserve">2027P02</t>
  </si>
  <si>
    <t xml:space="preserve">TPM-Onsite-JP</t>
  </si>
  <si>
    <t xml:space="preserve">TDL-Onsite-JP</t>
  </si>
  <si>
    <t xml:space="preserve">SA-Onsite-JP</t>
  </si>
  <si>
    <t xml:space="preserve">Designer-CMG-Remote-IN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</si>
</sst>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yyyy/mm/dd;@"/>
    <numFmt numFmtId="166" formatCode="[$€-1809]#,##0.00_);[RED]\([$€-1809]#,##0.00\)"/>
    <numFmt numFmtId="167" formatCode="yyyy\-mm\-dd;@"/>
    <numFmt numFmtId="168" formatCode="_-[$¥-411]* #,##0_-;\-[$¥-411]* #,##0_-;_-[$¥-411]* \-??_-;_-@_-"/>
    <numFmt numFmtId="169" formatCode="yyyy\-mm\-dd"/>
  </numFmts>
  <fonts count="13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Calibri"/>
      <family val="0"/>
      <charset val="1"/>
    </font>
    <font>
      <b val="true"/>
      <sz val="9"/>
      <color theme="1"/>
      <name val="Calibri"/>
      <family val="0"/>
      <charset val="1"/>
    </font>
    <font>
      <sz val="9"/>
      <color rgb="FFFF0000"/>
      <name val="Calibri"/>
      <family val="0"/>
      <charset val="1"/>
    </font>
    <font>
      <sz val="10"/>
      <name val="Arial"/>
      <family val="2"/>
    </font>
    <font>
      <sz val="9"/>
      <name val="Tahoma"/>
      <family val="0"/>
      <charset val="1"/>
    </font>
    <font>
      <sz val="11"/>
      <color theme="1"/>
      <name val="Nokia Pure Text"/>
      <family val="0"/>
      <charset val="1"/>
    </font>
    <font>
      <b val="true"/>
      <sz val="11"/>
      <color theme="1"/>
      <name val="Nokia Pure Text"/>
      <family val="0"/>
      <charset val="1"/>
    </font>
    <font>
      <b val="true"/>
      <sz val="9"/>
      <name val="Calibri"/>
      <family val="0"/>
      <charset val="1"/>
    </font>
    <font>
      <b val="true"/>
      <sz val="9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2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9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D29" activeCellId="0" sqref="D29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9.12"/>
    <col collapsed="false" customWidth="true" hidden="false" outlineLevel="0" max="2" min="2" style="1" width="13.85"/>
    <col collapsed="false" customWidth="true" hidden="false" outlineLevel="0" max="3" min="3" style="1" width="11.57"/>
    <col collapsed="false" customWidth="true" hidden="false" outlineLevel="0" max="4" min="4" style="1" width="65.39"/>
    <col collapsed="false" customWidth="true" hidden="false" outlineLevel="0" max="5" min="5" style="1" width="11.88"/>
    <col collapsed="false" customWidth="true" hidden="false" outlineLevel="0" max="6" min="6" style="1" width="16.82"/>
    <col collapsed="false" customWidth="true" hidden="false" outlineLevel="0" max="7" min="7" style="1" width="11.57"/>
    <col collapsed="false" customWidth="true" hidden="false" outlineLevel="0" max="8" min="8" style="1" width="25.95"/>
    <col collapsed="false" customWidth="true" hidden="false" outlineLevel="0" max="9" min="9" style="1" width="14.61"/>
    <col collapsed="false" customWidth="true" hidden="false" outlineLevel="0" max="10" min="10" style="1" width="9.28"/>
    <col collapsed="false" customWidth="true" hidden="false" outlineLevel="0" max="11" min="11" style="2" width="9.85"/>
    <col collapsed="false" customWidth="true" hidden="false" outlineLevel="0" max="12" min="12" style="1" width="11.82"/>
    <col collapsed="false" customWidth="true" hidden="false" outlineLevel="0" max="13" min="13" style="1" width="18.81"/>
    <col collapsed="false" customWidth="true" hidden="false" outlineLevel="0" max="14" min="14" style="1" width="14.44"/>
    <col collapsed="false" customWidth="true" hidden="false" outlineLevel="0" max="15" min="15" style="2" width="6.83"/>
    <col collapsed="false" customWidth="true" hidden="false" outlineLevel="0" max="16" min="16" style="2" width="7.85"/>
    <col collapsed="false" customWidth="true" hidden="false" outlineLevel="0" max="17" min="17" style="2" width="14.76"/>
    <col collapsed="false" customWidth="true" hidden="false" outlineLevel="0" max="18" min="18" style="1" width="16.11"/>
    <col collapsed="false" customWidth="true" hidden="false" outlineLevel="0" max="19" min="19" style="3" width="11.98"/>
    <col collapsed="false" customWidth="true" hidden="false" outlineLevel="0" max="20" min="20" style="3" width="10.88"/>
    <col collapsed="false" customWidth="true" hidden="false" outlineLevel="0" max="22" min="21" style="1" width="9.14"/>
    <col collapsed="false" customWidth="false" hidden="false" outlineLevel="0" max="16383" min="24" style="1" width="9"/>
    <col collapsed="false" customWidth="true" hidden="false" outlineLevel="0" max="16384" min="16384" style="1" width="10.16"/>
  </cols>
  <sheetData>
    <row r="1" customFormat="false" ht="14.2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5" t="s">
        <v>19</v>
      </c>
    </row>
    <row r="2" customFormat="false" ht="14" hidden="false" customHeight="true" outlineLevel="0" collapsed="false">
      <c r="A2" s="6" t="s">
        <v>20</v>
      </c>
      <c r="B2" s="6" t="s">
        <v>21</v>
      </c>
      <c r="C2" s="6" t="s">
        <v>20</v>
      </c>
      <c r="D2" s="7" t="s">
        <v>22</v>
      </c>
      <c r="E2" s="7" t="s">
        <v>23</v>
      </c>
      <c r="F2" s="7" t="s">
        <v>24</v>
      </c>
      <c r="G2" s="6" t="n">
        <v>20</v>
      </c>
      <c r="H2" s="7"/>
      <c r="I2" s="6" t="n">
        <v>1</v>
      </c>
      <c r="J2" s="6" t="n">
        <v>1</v>
      </c>
      <c r="K2" s="6" t="n">
        <f aca="false">G2*I2*J2</f>
        <v>20</v>
      </c>
      <c r="L2" s="6" t="s">
        <v>25</v>
      </c>
      <c r="M2" s="6" t="s">
        <v>26</v>
      </c>
      <c r="N2" s="6" t="s">
        <v>27</v>
      </c>
      <c r="O2" s="6" t="s">
        <v>28</v>
      </c>
      <c r="P2" s="8" t="n">
        <v>428.25</v>
      </c>
      <c r="Q2" s="8" t="n">
        <f aca="false">P2*K2</f>
        <v>8565</v>
      </c>
      <c r="R2" s="6"/>
      <c r="S2" s="9" t="n">
        <v>46111</v>
      </c>
      <c r="T2" s="10" t="n">
        <f aca="false">WORKDAY(S2,K2-1)</f>
        <v>46136</v>
      </c>
    </row>
    <row r="3" customFormat="false" ht="30" hidden="false" customHeight="true" outlineLevel="0" collapsed="false">
      <c r="A3" s="6" t="s">
        <v>29</v>
      </c>
      <c r="B3" s="6" t="s">
        <v>21</v>
      </c>
      <c r="C3" s="6" t="s">
        <v>30</v>
      </c>
      <c r="D3" s="7" t="s">
        <v>31</v>
      </c>
      <c r="E3" s="7" t="s">
        <v>32</v>
      </c>
      <c r="F3" s="7" t="s">
        <v>33</v>
      </c>
      <c r="G3" s="6" t="n">
        <v>15</v>
      </c>
      <c r="H3" s="7" t="s">
        <v>34</v>
      </c>
      <c r="I3" s="6" t="n">
        <v>1</v>
      </c>
      <c r="J3" s="6" t="n">
        <v>2</v>
      </c>
      <c r="K3" s="6" t="n">
        <f aca="false">G3*I3*J3</f>
        <v>30</v>
      </c>
      <c r="L3" s="6" t="s">
        <v>35</v>
      </c>
      <c r="M3" s="6" t="s">
        <v>26</v>
      </c>
      <c r="N3" s="6" t="s">
        <v>36</v>
      </c>
      <c r="O3" s="6" t="s">
        <v>37</v>
      </c>
      <c r="P3" s="8" t="n">
        <v>144.86</v>
      </c>
      <c r="Q3" s="8" t="n">
        <f aca="false">P3*K3</f>
        <v>4345.8</v>
      </c>
      <c r="R3" s="6"/>
      <c r="S3" s="10" t="n">
        <f aca="false">WORKDAY(S2,10)</f>
        <v>46125</v>
      </c>
      <c r="T3" s="10" t="n">
        <f aca="false">WORKDAY(S3,K3-1)</f>
        <v>46164</v>
      </c>
    </row>
    <row r="4" customFormat="false" ht="30" hidden="false" customHeight="true" outlineLevel="0" collapsed="false">
      <c r="A4" s="6" t="s">
        <v>29</v>
      </c>
      <c r="B4" s="6" t="s">
        <v>21</v>
      </c>
      <c r="C4" s="6" t="s">
        <v>30</v>
      </c>
      <c r="D4" s="7" t="s">
        <v>38</v>
      </c>
      <c r="E4" s="7" t="s">
        <v>39</v>
      </c>
      <c r="F4" s="7" t="s">
        <v>33</v>
      </c>
      <c r="G4" s="6" t="n">
        <v>5</v>
      </c>
      <c r="H4" s="7" t="s">
        <v>34</v>
      </c>
      <c r="I4" s="6" t="n">
        <v>0.6</v>
      </c>
      <c r="J4" s="6" t="n">
        <v>2</v>
      </c>
      <c r="K4" s="6" t="n">
        <f aca="false">G4*I4*J4</f>
        <v>6</v>
      </c>
      <c r="L4" s="6" t="s">
        <v>35</v>
      </c>
      <c r="M4" s="6" t="s">
        <v>26</v>
      </c>
      <c r="N4" s="6" t="s">
        <v>36</v>
      </c>
      <c r="O4" s="6" t="s">
        <v>37</v>
      </c>
      <c r="P4" s="8" t="n">
        <v>144.86</v>
      </c>
      <c r="Q4" s="8" t="n">
        <f aca="false">P4*K4</f>
        <v>869.16</v>
      </c>
      <c r="R4" s="6"/>
      <c r="S4" s="10" t="n">
        <f aca="false">WORKDAY(T3,1)</f>
        <v>46167</v>
      </c>
      <c r="T4" s="10" t="n">
        <f aca="false">WORKDAY(S4,K4-1)</f>
        <v>46174</v>
      </c>
    </row>
    <row r="5" customFormat="false" ht="30" hidden="false" customHeight="true" outlineLevel="0" collapsed="false">
      <c r="A5" s="6" t="s">
        <v>29</v>
      </c>
      <c r="B5" s="6" t="s">
        <v>40</v>
      </c>
      <c r="C5" s="6" t="s">
        <v>30</v>
      </c>
      <c r="D5" s="7" t="s">
        <v>41</v>
      </c>
      <c r="E5" s="7" t="s">
        <v>42</v>
      </c>
      <c r="F5" s="7" t="s">
        <v>43</v>
      </c>
      <c r="G5" s="6" t="n">
        <v>4</v>
      </c>
      <c r="H5" s="7"/>
      <c r="I5" s="6" t="n">
        <v>1</v>
      </c>
      <c r="J5" s="6" t="n">
        <v>1</v>
      </c>
      <c r="K5" s="6" t="n">
        <f aca="false">G5*I5*J5</f>
        <v>4</v>
      </c>
      <c r="L5" s="6" t="s">
        <v>44</v>
      </c>
      <c r="M5" s="6" t="s">
        <v>45</v>
      </c>
      <c r="N5" s="6" t="s">
        <v>27</v>
      </c>
      <c r="O5" s="6" t="s">
        <v>28</v>
      </c>
      <c r="P5" s="8" t="n">
        <v>233.64</v>
      </c>
      <c r="Q5" s="8" t="n">
        <f aca="false">P5*K5</f>
        <v>934.56</v>
      </c>
      <c r="R5" s="6"/>
      <c r="S5" s="10" t="n">
        <f aca="false">WORKDAY(T4,1)</f>
        <v>46175</v>
      </c>
      <c r="T5" s="10" t="n">
        <f aca="false">WORKDAY(S5,K5-1)</f>
        <v>46178</v>
      </c>
    </row>
    <row r="6" customFormat="false" ht="30" hidden="false" customHeight="true" outlineLevel="0" collapsed="false">
      <c r="A6" s="6" t="s">
        <v>29</v>
      </c>
      <c r="B6" s="6" t="s">
        <v>40</v>
      </c>
      <c r="C6" s="6" t="s">
        <v>30</v>
      </c>
      <c r="D6" s="7" t="s">
        <v>46</v>
      </c>
      <c r="E6" s="7" t="s">
        <v>47</v>
      </c>
      <c r="F6" s="7" t="s">
        <v>43</v>
      </c>
      <c r="G6" s="6" t="n">
        <v>3</v>
      </c>
      <c r="H6" s="7" t="s">
        <v>48</v>
      </c>
      <c r="I6" s="6" t="n">
        <v>1</v>
      </c>
      <c r="J6" s="6" t="n">
        <v>2</v>
      </c>
      <c r="K6" s="6" t="n">
        <f aca="false">G6*I6*J6</f>
        <v>6</v>
      </c>
      <c r="L6" s="6" t="s">
        <v>44</v>
      </c>
      <c r="M6" s="6" t="s">
        <v>45</v>
      </c>
      <c r="N6" s="6" t="s">
        <v>27</v>
      </c>
      <c r="O6" s="6" t="s">
        <v>28</v>
      </c>
      <c r="P6" s="8" t="n">
        <v>233.64</v>
      </c>
      <c r="Q6" s="8" t="n">
        <f aca="false">P6*K6</f>
        <v>1401.84</v>
      </c>
      <c r="R6" s="6"/>
      <c r="S6" s="10" t="n">
        <f aca="false">WORKDAY(T5,1)</f>
        <v>46181</v>
      </c>
      <c r="T6" s="10" t="n">
        <f aca="false">WORKDAY(S6,K6/2-1)</f>
        <v>46183</v>
      </c>
    </row>
    <row r="7" customFormat="false" ht="30" hidden="false" customHeight="true" outlineLevel="0" collapsed="false">
      <c r="A7" s="6" t="s">
        <v>29</v>
      </c>
      <c r="B7" s="6" t="s">
        <v>40</v>
      </c>
      <c r="C7" s="6" t="s">
        <v>30</v>
      </c>
      <c r="D7" s="7" t="s">
        <v>49</v>
      </c>
      <c r="E7" s="7" t="s">
        <v>50</v>
      </c>
      <c r="F7" s="7" t="s">
        <v>43</v>
      </c>
      <c r="G7" s="6" t="n">
        <v>16</v>
      </c>
      <c r="H7" s="7" t="s">
        <v>48</v>
      </c>
      <c r="I7" s="6" t="n">
        <v>1</v>
      </c>
      <c r="J7" s="6" t="n">
        <v>2</v>
      </c>
      <c r="K7" s="6" t="n">
        <f aca="false">G7*I7*J7</f>
        <v>32</v>
      </c>
      <c r="L7" s="6" t="s">
        <v>44</v>
      </c>
      <c r="M7" s="6" t="s">
        <v>45</v>
      </c>
      <c r="N7" s="6" t="s">
        <v>27</v>
      </c>
      <c r="O7" s="6" t="s">
        <v>28</v>
      </c>
      <c r="P7" s="8" t="n">
        <v>233.64</v>
      </c>
      <c r="Q7" s="8" t="n">
        <f aca="false">P7*K7</f>
        <v>7476.48</v>
      </c>
      <c r="R7" s="6"/>
      <c r="S7" s="10" t="n">
        <f aca="false">WORKDAY(T6,1)</f>
        <v>46184</v>
      </c>
      <c r="T7" s="10" t="n">
        <f aca="false">WORKDAY(S7,K7/2-1)</f>
        <v>46205</v>
      </c>
    </row>
    <row r="8" customFormat="false" ht="30" hidden="false" customHeight="true" outlineLevel="0" collapsed="false">
      <c r="A8" s="6" t="s">
        <v>29</v>
      </c>
      <c r="B8" s="6" t="s">
        <v>51</v>
      </c>
      <c r="C8" s="6" t="s">
        <v>20</v>
      </c>
      <c r="D8" s="7" t="s">
        <v>52</v>
      </c>
      <c r="E8" s="7" t="s">
        <v>53</v>
      </c>
      <c r="F8" s="7" t="s">
        <v>54</v>
      </c>
      <c r="G8" s="6" t="n">
        <v>0.5</v>
      </c>
      <c r="H8" s="7" t="s">
        <v>48</v>
      </c>
      <c r="I8" s="6" t="n">
        <v>1</v>
      </c>
      <c r="J8" s="6" t="n">
        <v>16</v>
      </c>
      <c r="K8" s="6" t="n">
        <f aca="false">G8*I8*J8</f>
        <v>8</v>
      </c>
      <c r="L8" s="6" t="s">
        <v>25</v>
      </c>
      <c r="M8" s="6" t="s">
        <v>26</v>
      </c>
      <c r="N8" s="6" t="s">
        <v>27</v>
      </c>
      <c r="O8" s="6" t="s">
        <v>28</v>
      </c>
      <c r="P8" s="8" t="n">
        <v>428.25</v>
      </c>
      <c r="Q8" s="8" t="n">
        <f aca="false">P8*K8</f>
        <v>3426</v>
      </c>
      <c r="R8" s="6" t="s">
        <v>55</v>
      </c>
      <c r="S8" s="10" t="n">
        <f aca="false">S7</f>
        <v>46184</v>
      </c>
      <c r="T8" s="10" t="n">
        <f aca="false">T7</f>
        <v>46205</v>
      </c>
    </row>
    <row r="9" customFormat="false" ht="30" hidden="false" customHeight="true" outlineLevel="0" collapsed="false">
      <c r="A9" s="6" t="s">
        <v>29</v>
      </c>
      <c r="B9" s="6" t="s">
        <v>56</v>
      </c>
      <c r="C9" s="6" t="s">
        <v>30</v>
      </c>
      <c r="D9" s="7" t="s">
        <v>57</v>
      </c>
      <c r="E9" s="7" t="s">
        <v>58</v>
      </c>
      <c r="F9" s="7" t="s">
        <v>59</v>
      </c>
      <c r="G9" s="6" t="n">
        <v>2</v>
      </c>
      <c r="H9" s="7" t="s">
        <v>60</v>
      </c>
      <c r="I9" s="6" t="n">
        <v>1</v>
      </c>
      <c r="J9" s="6" t="n">
        <v>4</v>
      </c>
      <c r="K9" s="6" t="n">
        <f aca="false">G9*I9*J9</f>
        <v>8</v>
      </c>
      <c r="L9" s="6" t="s">
        <v>25</v>
      </c>
      <c r="M9" s="6" t="s">
        <v>26</v>
      </c>
      <c r="N9" s="6" t="s">
        <v>27</v>
      </c>
      <c r="O9" s="6" t="s">
        <v>28</v>
      </c>
      <c r="P9" s="8" t="n">
        <v>428.25</v>
      </c>
      <c r="Q9" s="8" t="n">
        <f aca="false">P9*K9</f>
        <v>3426</v>
      </c>
      <c r="R9" s="6"/>
      <c r="S9" s="10" t="n">
        <f aca="false">WORKDAY(T2,1)</f>
        <v>46139</v>
      </c>
      <c r="T9" s="10" t="n">
        <f aca="false">WORKDAY(S9,K9-1)</f>
        <v>46148</v>
      </c>
    </row>
    <row r="10" customFormat="false" ht="30" hidden="false" customHeight="true" outlineLevel="0" collapsed="false">
      <c r="A10" s="6" t="s">
        <v>29</v>
      </c>
      <c r="B10" s="6" t="s">
        <v>21</v>
      </c>
      <c r="C10" s="6" t="s">
        <v>30</v>
      </c>
      <c r="D10" s="7" t="s">
        <v>61</v>
      </c>
      <c r="E10" s="7" t="s">
        <v>62</v>
      </c>
      <c r="F10" s="7" t="s">
        <v>63</v>
      </c>
      <c r="G10" s="6" t="n">
        <v>20</v>
      </c>
      <c r="H10" s="7" t="s">
        <v>60</v>
      </c>
      <c r="I10" s="6" t="n">
        <v>1</v>
      </c>
      <c r="J10" s="6" t="n">
        <v>2</v>
      </c>
      <c r="K10" s="6" t="n">
        <f aca="false">G10*I10*J10</f>
        <v>40</v>
      </c>
      <c r="L10" s="6" t="s">
        <v>44</v>
      </c>
      <c r="M10" s="6" t="s">
        <v>45</v>
      </c>
      <c r="N10" s="6" t="s">
        <v>27</v>
      </c>
      <c r="O10" s="6" t="s">
        <v>28</v>
      </c>
      <c r="P10" s="8" t="n">
        <v>233.64</v>
      </c>
      <c r="Q10" s="8" t="n">
        <f aca="false">P10*K10</f>
        <v>9345.6</v>
      </c>
      <c r="R10" s="6"/>
      <c r="S10" s="10" t="n">
        <f aca="false">WORKDAY(T9,1)</f>
        <v>46149</v>
      </c>
      <c r="T10" s="10" t="n">
        <f aca="false">WORKDAY(S10,K10-1)</f>
        <v>46204</v>
      </c>
    </row>
    <row r="11" customFormat="false" ht="30" hidden="false" customHeight="true" outlineLevel="0" collapsed="false">
      <c r="A11" s="6" t="s">
        <v>29</v>
      </c>
      <c r="B11" s="6" t="s">
        <v>51</v>
      </c>
      <c r="C11" s="6" t="s">
        <v>20</v>
      </c>
      <c r="D11" s="7" t="s">
        <v>64</v>
      </c>
      <c r="E11" s="7" t="s">
        <v>65</v>
      </c>
      <c r="F11" s="7" t="s">
        <v>66</v>
      </c>
      <c r="G11" s="6" t="n">
        <v>0.5</v>
      </c>
      <c r="H11" s="7" t="s">
        <v>67</v>
      </c>
      <c r="I11" s="6" t="n">
        <v>1</v>
      </c>
      <c r="J11" s="6" t="n">
        <v>40</v>
      </c>
      <c r="K11" s="6" t="n">
        <f aca="false">G11*I11*J11</f>
        <v>20</v>
      </c>
      <c r="L11" s="6" t="s">
        <v>25</v>
      </c>
      <c r="M11" s="6" t="s">
        <v>26</v>
      </c>
      <c r="N11" s="6" t="s">
        <v>27</v>
      </c>
      <c r="O11" s="6" t="s">
        <v>28</v>
      </c>
      <c r="P11" s="8" t="n">
        <v>428.25</v>
      </c>
      <c r="Q11" s="8" t="n">
        <f aca="false">P11*K11</f>
        <v>8565</v>
      </c>
      <c r="R11" s="6"/>
      <c r="S11" s="10" t="n">
        <f aca="false">WORKDAY(T10,1)</f>
        <v>46205</v>
      </c>
      <c r="T11" s="10" t="n">
        <f aca="false">WORKDAY(S11,J11-1)</f>
        <v>46260</v>
      </c>
    </row>
    <row r="12" customFormat="false" ht="30" hidden="false" customHeight="true" outlineLevel="0" collapsed="false">
      <c r="A12" s="6" t="s">
        <v>68</v>
      </c>
      <c r="B12" s="6" t="s">
        <v>21</v>
      </c>
      <c r="C12" s="6" t="s">
        <v>30</v>
      </c>
      <c r="D12" s="7" t="s">
        <v>38</v>
      </c>
      <c r="E12" s="7" t="s">
        <v>39</v>
      </c>
      <c r="F12" s="7" t="s">
        <v>33</v>
      </c>
      <c r="G12" s="6" t="n">
        <v>5</v>
      </c>
      <c r="H12" s="7" t="s">
        <v>69</v>
      </c>
      <c r="I12" s="6" t="n">
        <v>0.6</v>
      </c>
      <c r="J12" s="6" t="n">
        <v>32</v>
      </c>
      <c r="K12" s="6" t="n">
        <f aca="false">G12*I12*J12</f>
        <v>96</v>
      </c>
      <c r="L12" s="6" t="s">
        <v>35</v>
      </c>
      <c r="M12" s="6" t="s">
        <v>26</v>
      </c>
      <c r="N12" s="6" t="s">
        <v>36</v>
      </c>
      <c r="O12" s="6" t="s">
        <v>37</v>
      </c>
      <c r="P12" s="8" t="n">
        <v>144.86</v>
      </c>
      <c r="Q12" s="8" t="n">
        <f aca="false">P12*K12</f>
        <v>13906.56</v>
      </c>
      <c r="R12" s="6"/>
      <c r="S12" s="10" t="n">
        <f aca="false">WORKDAY(T4,1)</f>
        <v>46175</v>
      </c>
      <c r="T12" s="10" t="n">
        <f aca="false">WORKDAY(S12,K12-1)</f>
        <v>46308</v>
      </c>
    </row>
    <row r="13" customFormat="false" ht="30" hidden="false" customHeight="true" outlineLevel="0" collapsed="false">
      <c r="A13" s="6" t="s">
        <v>68</v>
      </c>
      <c r="B13" s="6" t="s">
        <v>40</v>
      </c>
      <c r="C13" s="6" t="s">
        <v>30</v>
      </c>
      <c r="D13" s="7" t="s">
        <v>46</v>
      </c>
      <c r="E13" s="7" t="s">
        <v>47</v>
      </c>
      <c r="F13" s="7" t="s">
        <v>43</v>
      </c>
      <c r="G13" s="6" t="n">
        <v>3</v>
      </c>
      <c r="H13" s="7" t="s">
        <v>69</v>
      </c>
      <c r="I13" s="6" t="n">
        <v>1</v>
      </c>
      <c r="J13" s="6" t="n">
        <v>16</v>
      </c>
      <c r="K13" s="6" t="n">
        <f aca="false">G13*I13*J13</f>
        <v>48</v>
      </c>
      <c r="L13" s="6" t="s">
        <v>44</v>
      </c>
      <c r="M13" s="6" t="s">
        <v>45</v>
      </c>
      <c r="N13" s="6" t="s">
        <v>27</v>
      </c>
      <c r="O13" s="6" t="s">
        <v>28</v>
      </c>
      <c r="P13" s="8" t="n">
        <v>233.64</v>
      </c>
      <c r="Q13" s="8" t="n">
        <f aca="false">P13*K13</f>
        <v>11214.72</v>
      </c>
      <c r="R13" s="6"/>
      <c r="S13" s="10" t="n">
        <f aca="false">WORKDAY(T7,1)</f>
        <v>46206</v>
      </c>
      <c r="T13" s="10" t="n">
        <f aca="false">WORKDAY(S13,K13/2-1)</f>
        <v>46239</v>
      </c>
    </row>
    <row r="14" customFormat="false" ht="25.5" hidden="false" customHeight="true" outlineLevel="0" collapsed="false">
      <c r="A14" s="6" t="s">
        <v>68</v>
      </c>
      <c r="B14" s="6" t="s">
        <v>40</v>
      </c>
      <c r="C14" s="6" t="s">
        <v>30</v>
      </c>
      <c r="D14" s="7" t="s">
        <v>49</v>
      </c>
      <c r="E14" s="7" t="s">
        <v>50</v>
      </c>
      <c r="F14" s="7" t="s">
        <v>43</v>
      </c>
      <c r="G14" s="6" t="n">
        <v>16</v>
      </c>
      <c r="H14" s="7" t="s">
        <v>69</v>
      </c>
      <c r="I14" s="6" t="n">
        <v>1</v>
      </c>
      <c r="J14" s="6" t="n">
        <v>16</v>
      </c>
      <c r="K14" s="6" t="n">
        <f aca="false">G14*I14*J14</f>
        <v>256</v>
      </c>
      <c r="L14" s="6" t="s">
        <v>44</v>
      </c>
      <c r="M14" s="6" t="s">
        <v>45</v>
      </c>
      <c r="N14" s="6" t="s">
        <v>27</v>
      </c>
      <c r="O14" s="6" t="s">
        <v>28</v>
      </c>
      <c r="P14" s="8" t="n">
        <v>233.64</v>
      </c>
      <c r="Q14" s="8" t="n">
        <f aca="false">P14*K14</f>
        <v>59811.84</v>
      </c>
      <c r="R14" s="6"/>
      <c r="S14" s="10" t="n">
        <f aca="false">WORKDAY(T13,1)</f>
        <v>46240</v>
      </c>
      <c r="T14" s="10" t="n">
        <f aca="false">WORKDAY(S14,K14/2-1)</f>
        <v>46419</v>
      </c>
    </row>
    <row r="15" customFormat="false" ht="30" hidden="false" customHeight="true" outlineLevel="0" collapsed="false">
      <c r="A15" s="6" t="s">
        <v>68</v>
      </c>
      <c r="B15" s="6" t="s">
        <v>51</v>
      </c>
      <c r="C15" s="6" t="s">
        <v>20</v>
      </c>
      <c r="D15" s="7" t="s">
        <v>52</v>
      </c>
      <c r="E15" s="7" t="s">
        <v>53</v>
      </c>
      <c r="F15" s="7" t="s">
        <v>54</v>
      </c>
      <c r="G15" s="6" t="n">
        <v>0.5</v>
      </c>
      <c r="H15" s="7" t="s">
        <v>69</v>
      </c>
      <c r="I15" s="6" t="n">
        <v>1</v>
      </c>
      <c r="J15" s="11" t="n">
        <v>152</v>
      </c>
      <c r="K15" s="6" t="n">
        <f aca="false">G15*I15*J15</f>
        <v>76</v>
      </c>
      <c r="L15" s="6" t="s">
        <v>25</v>
      </c>
      <c r="M15" s="6" t="s">
        <v>26</v>
      </c>
      <c r="N15" s="6" t="s">
        <v>27</v>
      </c>
      <c r="O15" s="6" t="s">
        <v>28</v>
      </c>
      <c r="P15" s="8" t="n">
        <v>428.25</v>
      </c>
      <c r="Q15" s="8" t="n">
        <f aca="false">P15*K15</f>
        <v>32547</v>
      </c>
      <c r="R15" s="6" t="s">
        <v>55</v>
      </c>
      <c r="S15" s="10" t="n">
        <f aca="false">S13</f>
        <v>46206</v>
      </c>
      <c r="T15" s="10" t="n">
        <f aca="false">T14</f>
        <v>46419</v>
      </c>
    </row>
    <row r="16" customFormat="false" ht="30" hidden="false" customHeight="true" outlineLevel="0" collapsed="false">
      <c r="A16" s="6" t="s">
        <v>68</v>
      </c>
      <c r="B16" s="6" t="s">
        <v>40</v>
      </c>
      <c r="C16" s="6" t="s">
        <v>30</v>
      </c>
      <c r="D16" s="7" t="s">
        <v>70</v>
      </c>
      <c r="E16" s="7" t="s">
        <v>71</v>
      </c>
      <c r="F16" s="7" t="s">
        <v>43</v>
      </c>
      <c r="G16" s="6" t="n">
        <v>2</v>
      </c>
      <c r="H16" s="7" t="s">
        <v>72</v>
      </c>
      <c r="I16" s="6" t="n">
        <v>1</v>
      </c>
      <c r="J16" s="6" t="n">
        <v>1</v>
      </c>
      <c r="K16" s="6" t="n">
        <f aca="false">G16*I16*J16</f>
        <v>2</v>
      </c>
      <c r="L16" s="6" t="s">
        <v>44</v>
      </c>
      <c r="M16" s="6" t="s">
        <v>45</v>
      </c>
      <c r="N16" s="6" t="s">
        <v>27</v>
      </c>
      <c r="O16" s="6" t="s">
        <v>28</v>
      </c>
      <c r="P16" s="8" t="n">
        <v>233.64</v>
      </c>
      <c r="Q16" s="8" t="n">
        <f aca="false">P16*K16</f>
        <v>467.28</v>
      </c>
      <c r="R16" s="6"/>
      <c r="S16" s="10" t="n">
        <f aca="false">WORKDAY(T15,1)</f>
        <v>46420</v>
      </c>
      <c r="T16" s="10" t="n">
        <f aca="false">WORKDAY(S16,K16-1)</f>
        <v>46421</v>
      </c>
    </row>
    <row r="17" customFormat="false" ht="30" hidden="false" customHeight="true" outlineLevel="0" collapsed="false">
      <c r="A17" s="6" t="s">
        <v>68</v>
      </c>
      <c r="B17" s="6" t="s">
        <v>40</v>
      </c>
      <c r="C17" s="6" t="s">
        <v>30</v>
      </c>
      <c r="D17" s="7" t="s">
        <v>73</v>
      </c>
      <c r="E17" s="7" t="s">
        <v>74</v>
      </c>
      <c r="F17" s="7" t="s">
        <v>43</v>
      </c>
      <c r="G17" s="6" t="n">
        <v>3</v>
      </c>
      <c r="H17" s="7" t="s">
        <v>72</v>
      </c>
      <c r="I17" s="6" t="n">
        <v>1</v>
      </c>
      <c r="J17" s="6" t="n">
        <v>1</v>
      </c>
      <c r="K17" s="6" t="n">
        <f aca="false">G17*I17*J17</f>
        <v>3</v>
      </c>
      <c r="L17" s="6" t="s">
        <v>44</v>
      </c>
      <c r="M17" s="6" t="s">
        <v>45</v>
      </c>
      <c r="N17" s="6" t="s">
        <v>27</v>
      </c>
      <c r="O17" s="6" t="s">
        <v>28</v>
      </c>
      <c r="P17" s="8" t="n">
        <v>233.64</v>
      </c>
      <c r="Q17" s="8" t="n">
        <f aca="false">P17*K17</f>
        <v>700.92</v>
      </c>
      <c r="R17" s="6"/>
      <c r="S17" s="10" t="n">
        <f aca="false">WORKDAY(T16,1)</f>
        <v>46422</v>
      </c>
      <c r="T17" s="10" t="n">
        <f aca="false">WORKDAY(S17,K17/2)</f>
        <v>46423</v>
      </c>
    </row>
    <row r="18" customFormat="false" ht="30" hidden="false" customHeight="true" outlineLevel="0" collapsed="false">
      <c r="A18" s="6" t="s">
        <v>68</v>
      </c>
      <c r="B18" s="6" t="s">
        <v>51</v>
      </c>
      <c r="C18" s="6" t="s">
        <v>20</v>
      </c>
      <c r="D18" s="7" t="s">
        <v>52</v>
      </c>
      <c r="E18" s="7" t="s">
        <v>53</v>
      </c>
      <c r="F18" s="7" t="s">
        <v>54</v>
      </c>
      <c r="G18" s="6" t="n">
        <v>1</v>
      </c>
      <c r="H18" s="7" t="s">
        <v>72</v>
      </c>
      <c r="I18" s="6" t="n">
        <v>1</v>
      </c>
      <c r="J18" s="6" t="n">
        <v>1</v>
      </c>
      <c r="K18" s="6" t="n">
        <f aca="false">G18*I18*J18</f>
        <v>1</v>
      </c>
      <c r="L18" s="6" t="s">
        <v>25</v>
      </c>
      <c r="M18" s="6" t="s">
        <v>26</v>
      </c>
      <c r="N18" s="6" t="s">
        <v>27</v>
      </c>
      <c r="O18" s="6" t="s">
        <v>28</v>
      </c>
      <c r="P18" s="8" t="n">
        <v>428.25</v>
      </c>
      <c r="Q18" s="8" t="n">
        <f aca="false">P18*K18</f>
        <v>428.25</v>
      </c>
      <c r="R18" s="6" t="s">
        <v>55</v>
      </c>
      <c r="S18" s="10" t="n">
        <f aca="false">S17</f>
        <v>46422</v>
      </c>
      <c r="T18" s="10" t="n">
        <f aca="false">T17</f>
        <v>46423</v>
      </c>
    </row>
    <row r="19" customFormat="false" ht="30" hidden="false" customHeight="true" outlineLevel="0" collapsed="false">
      <c r="A19" s="6" t="s">
        <v>68</v>
      </c>
      <c r="B19" s="6" t="s">
        <v>56</v>
      </c>
      <c r="C19" s="6" t="s">
        <v>30</v>
      </c>
      <c r="D19" s="7" t="s">
        <v>75</v>
      </c>
      <c r="E19" s="7" t="s">
        <v>76</v>
      </c>
      <c r="F19" s="7" t="s">
        <v>77</v>
      </c>
      <c r="G19" s="6" t="n">
        <v>10</v>
      </c>
      <c r="H19" s="7" t="s">
        <v>78</v>
      </c>
      <c r="I19" s="6" t="n">
        <v>1</v>
      </c>
      <c r="J19" s="6" t="n">
        <v>1</v>
      </c>
      <c r="K19" s="6" t="n">
        <f aca="false">G19*I19*J19</f>
        <v>10</v>
      </c>
      <c r="L19" s="6" t="s">
        <v>44</v>
      </c>
      <c r="M19" s="6" t="s">
        <v>45</v>
      </c>
      <c r="N19" s="6" t="s">
        <v>27</v>
      </c>
      <c r="O19" s="6" t="s">
        <v>28</v>
      </c>
      <c r="P19" s="8" t="n">
        <v>233.64</v>
      </c>
      <c r="Q19" s="8" t="n">
        <f aca="false">P19*K19</f>
        <v>2336.4</v>
      </c>
      <c r="R19" s="6"/>
      <c r="S19" s="10" t="n">
        <f aca="false">T18</f>
        <v>46423</v>
      </c>
      <c r="T19" s="10" t="n">
        <f aca="false">WORKDAY(S19,K19/2-1)</f>
        <v>46429</v>
      </c>
    </row>
    <row r="20" customFormat="false" ht="30" hidden="false" customHeight="true" outlineLevel="0" collapsed="false">
      <c r="A20" s="6" t="s">
        <v>68</v>
      </c>
      <c r="B20" s="6" t="s">
        <v>40</v>
      </c>
      <c r="C20" s="6" t="s">
        <v>30</v>
      </c>
      <c r="D20" s="7" t="s">
        <v>70</v>
      </c>
      <c r="E20" s="7" t="s">
        <v>71</v>
      </c>
      <c r="F20" s="7" t="s">
        <v>43</v>
      </c>
      <c r="G20" s="6" t="n">
        <v>2</v>
      </c>
      <c r="H20" s="7" t="s">
        <v>79</v>
      </c>
      <c r="I20" s="6" t="n">
        <v>1</v>
      </c>
      <c r="J20" s="6" t="n">
        <v>1</v>
      </c>
      <c r="K20" s="6" t="n">
        <f aca="false">G20*I20*J20</f>
        <v>2</v>
      </c>
      <c r="L20" s="6" t="s">
        <v>44</v>
      </c>
      <c r="M20" s="6" t="s">
        <v>45</v>
      </c>
      <c r="N20" s="6" t="s">
        <v>27</v>
      </c>
      <c r="O20" s="6" t="s">
        <v>28</v>
      </c>
      <c r="P20" s="8" t="n">
        <v>233.64</v>
      </c>
      <c r="Q20" s="8" t="n">
        <f aca="false">P20*K20</f>
        <v>467.28</v>
      </c>
      <c r="R20" s="6"/>
      <c r="S20" s="10" t="n">
        <f aca="false">WORKDAY(T19,1)</f>
        <v>46430</v>
      </c>
      <c r="T20" s="10" t="n">
        <f aca="false">WORKDAY(S20,K20-1)</f>
        <v>46433</v>
      </c>
    </row>
    <row r="21" customFormat="false" ht="30" hidden="false" customHeight="true" outlineLevel="0" collapsed="false">
      <c r="A21" s="6" t="s">
        <v>68</v>
      </c>
      <c r="B21" s="6" t="s">
        <v>40</v>
      </c>
      <c r="C21" s="6" t="s">
        <v>30</v>
      </c>
      <c r="D21" s="7" t="s">
        <v>73</v>
      </c>
      <c r="E21" s="7" t="s">
        <v>74</v>
      </c>
      <c r="F21" s="7" t="s">
        <v>43</v>
      </c>
      <c r="G21" s="6" t="n">
        <v>3</v>
      </c>
      <c r="H21" s="7" t="s">
        <v>79</v>
      </c>
      <c r="I21" s="6" t="n">
        <v>1</v>
      </c>
      <c r="J21" s="6" t="n">
        <v>1</v>
      </c>
      <c r="K21" s="6" t="n">
        <f aca="false">G21*I21*J21</f>
        <v>3</v>
      </c>
      <c r="L21" s="6" t="s">
        <v>44</v>
      </c>
      <c r="M21" s="6" t="s">
        <v>45</v>
      </c>
      <c r="N21" s="6" t="s">
        <v>27</v>
      </c>
      <c r="O21" s="6" t="s">
        <v>28</v>
      </c>
      <c r="P21" s="8" t="n">
        <v>233.64</v>
      </c>
      <c r="Q21" s="8" t="n">
        <f aca="false">P21*K21</f>
        <v>700.92</v>
      </c>
      <c r="R21" s="6"/>
      <c r="S21" s="10" t="n">
        <f aca="false">WORKDAY(T20,1)</f>
        <v>46434</v>
      </c>
      <c r="T21" s="10" t="n">
        <f aca="false">WORKDAY(S21,K21/2)</f>
        <v>46435</v>
      </c>
    </row>
    <row r="22" customFormat="false" ht="30" hidden="false" customHeight="true" outlineLevel="0" collapsed="false">
      <c r="A22" s="6" t="s">
        <v>68</v>
      </c>
      <c r="B22" s="6" t="s">
        <v>51</v>
      </c>
      <c r="C22" s="6" t="s">
        <v>20</v>
      </c>
      <c r="D22" s="7" t="s">
        <v>52</v>
      </c>
      <c r="E22" s="7" t="s">
        <v>53</v>
      </c>
      <c r="F22" s="7" t="s">
        <v>54</v>
      </c>
      <c r="G22" s="6" t="n">
        <v>1</v>
      </c>
      <c r="H22" s="7" t="s">
        <v>79</v>
      </c>
      <c r="I22" s="6" t="n">
        <v>1</v>
      </c>
      <c r="J22" s="6" t="n">
        <v>1</v>
      </c>
      <c r="K22" s="6" t="n">
        <f aca="false">G22*I22*J22</f>
        <v>1</v>
      </c>
      <c r="L22" s="6" t="s">
        <v>25</v>
      </c>
      <c r="M22" s="6" t="s">
        <v>26</v>
      </c>
      <c r="N22" s="6" t="s">
        <v>27</v>
      </c>
      <c r="O22" s="6" t="s">
        <v>28</v>
      </c>
      <c r="P22" s="8" t="n">
        <v>428.25</v>
      </c>
      <c r="Q22" s="8" t="n">
        <f aca="false">P22*K22</f>
        <v>428.25</v>
      </c>
      <c r="R22" s="6" t="s">
        <v>55</v>
      </c>
      <c r="S22" s="10" t="n">
        <f aca="false">S21</f>
        <v>46434</v>
      </c>
      <c r="T22" s="10" t="n">
        <f aca="false">T21</f>
        <v>46435</v>
      </c>
    </row>
    <row r="23" customFormat="false" ht="30" hidden="false" customHeight="true" outlineLevel="0" collapsed="false">
      <c r="A23" s="6" t="s">
        <v>68</v>
      </c>
      <c r="B23" s="6" t="s">
        <v>56</v>
      </c>
      <c r="C23" s="6" t="s">
        <v>30</v>
      </c>
      <c r="D23" s="7" t="s">
        <v>75</v>
      </c>
      <c r="E23" s="7" t="s">
        <v>76</v>
      </c>
      <c r="F23" s="7" t="s">
        <v>77</v>
      </c>
      <c r="G23" s="6" t="n">
        <v>10</v>
      </c>
      <c r="H23" s="7" t="s">
        <v>80</v>
      </c>
      <c r="I23" s="6" t="n">
        <v>1</v>
      </c>
      <c r="J23" s="6" t="n">
        <v>1</v>
      </c>
      <c r="K23" s="6" t="n">
        <f aca="false">G23*I23*J23</f>
        <v>10</v>
      </c>
      <c r="L23" s="6" t="s">
        <v>44</v>
      </c>
      <c r="M23" s="6" t="s">
        <v>45</v>
      </c>
      <c r="N23" s="6" t="s">
        <v>27</v>
      </c>
      <c r="O23" s="6" t="s">
        <v>28</v>
      </c>
      <c r="P23" s="8" t="n">
        <v>233.64</v>
      </c>
      <c r="Q23" s="8" t="n">
        <f aca="false">P23*K23</f>
        <v>2336.4</v>
      </c>
      <c r="R23" s="6"/>
      <c r="S23" s="10" t="n">
        <f aca="false">T21</f>
        <v>46435</v>
      </c>
      <c r="T23" s="10" t="n">
        <f aca="false">WORKDAY(S23,K23/2-1)</f>
        <v>46441</v>
      </c>
    </row>
    <row r="24" customFormat="false" ht="30" hidden="false" customHeight="true" outlineLevel="0" collapsed="false">
      <c r="A24" s="6" t="s">
        <v>68</v>
      </c>
      <c r="B24" s="6" t="s">
        <v>51</v>
      </c>
      <c r="C24" s="6" t="s">
        <v>20</v>
      </c>
      <c r="D24" s="7" t="s">
        <v>64</v>
      </c>
      <c r="E24" s="7" t="s">
        <v>65</v>
      </c>
      <c r="F24" s="7" t="s">
        <v>66</v>
      </c>
      <c r="G24" s="6" t="n">
        <v>0.5</v>
      </c>
      <c r="H24" s="7" t="s">
        <v>81</v>
      </c>
      <c r="I24" s="6" t="n">
        <v>1</v>
      </c>
      <c r="J24" s="6" t="n">
        <v>14</v>
      </c>
      <c r="K24" s="6" t="n">
        <f aca="false">G24*I24*J24</f>
        <v>7</v>
      </c>
      <c r="L24" s="6" t="s">
        <v>25</v>
      </c>
      <c r="M24" s="6" t="s">
        <v>26</v>
      </c>
      <c r="N24" s="6" t="s">
        <v>27</v>
      </c>
      <c r="O24" s="6" t="s">
        <v>28</v>
      </c>
      <c r="P24" s="8" t="n">
        <v>428.25</v>
      </c>
      <c r="Q24" s="8" t="n">
        <f aca="false">P24*K24</f>
        <v>2997.75</v>
      </c>
      <c r="R24" s="6"/>
      <c r="S24" s="10" t="n">
        <f aca="false">S17</f>
        <v>46422</v>
      </c>
      <c r="T24" s="10" t="n">
        <f aca="false">WORKDAY(S24,J24-1)</f>
        <v>46441</v>
      </c>
    </row>
    <row r="25" customFormat="false" ht="14.25" hidden="false" customHeight="false" outlineLevel="0" collapsed="false">
      <c r="A25" s="6" t="s">
        <v>20</v>
      </c>
      <c r="B25" s="6" t="s">
        <v>51</v>
      </c>
      <c r="C25" s="6" t="s">
        <v>82</v>
      </c>
      <c r="D25" s="7" t="s">
        <v>83</v>
      </c>
      <c r="E25" s="7" t="s">
        <v>84</v>
      </c>
      <c r="F25" s="7" t="s">
        <v>66</v>
      </c>
      <c r="G25" s="6" t="n">
        <v>0.25</v>
      </c>
      <c r="H25" s="7"/>
      <c r="I25" s="6" t="n">
        <v>1</v>
      </c>
      <c r="J25" s="11" t="n">
        <v>107</v>
      </c>
      <c r="K25" s="6" t="n">
        <f aca="false">G25*I25*J25</f>
        <v>26.75</v>
      </c>
      <c r="L25" s="6" t="s">
        <v>25</v>
      </c>
      <c r="M25" s="6" t="s">
        <v>26</v>
      </c>
      <c r="N25" s="6" t="s">
        <v>27</v>
      </c>
      <c r="O25" s="6" t="s">
        <v>28</v>
      </c>
      <c r="P25" s="8" t="n">
        <v>428.25</v>
      </c>
      <c r="Q25" s="8" t="n">
        <f aca="false">P25*K25</f>
        <v>11455.6875</v>
      </c>
      <c r="R25" s="6"/>
      <c r="S25" s="10" t="n">
        <f aca="false">WORKDAY(T11,1)</f>
        <v>46261</v>
      </c>
      <c r="T25" s="10" t="n">
        <f aca="false">WORKDAY(S25,J25-1)</f>
        <v>46409</v>
      </c>
    </row>
    <row r="26" customFormat="false" ht="14.25" hidden="false" customHeight="false" outlineLevel="0" collapsed="false">
      <c r="A26" s="6" t="s">
        <v>20</v>
      </c>
      <c r="B26" s="6" t="s">
        <v>51</v>
      </c>
      <c r="C26" s="6" t="s">
        <v>82</v>
      </c>
      <c r="D26" s="7" t="s">
        <v>85</v>
      </c>
      <c r="E26" s="7" t="s">
        <v>86</v>
      </c>
      <c r="F26" s="7" t="s">
        <v>66</v>
      </c>
      <c r="G26" s="6" t="n">
        <v>0.5</v>
      </c>
      <c r="H26" s="7"/>
      <c r="I26" s="6" t="n">
        <v>1</v>
      </c>
      <c r="J26" s="11" t="n">
        <v>237</v>
      </c>
      <c r="K26" s="6" t="n">
        <f aca="false">G26*I26*J26</f>
        <v>118.5</v>
      </c>
      <c r="L26" s="6" t="s">
        <v>87</v>
      </c>
      <c r="M26" s="6" t="s">
        <v>26</v>
      </c>
      <c r="N26" s="6" t="s">
        <v>27</v>
      </c>
      <c r="O26" s="6" t="s">
        <v>28</v>
      </c>
      <c r="P26" s="8" t="n">
        <v>428.25</v>
      </c>
      <c r="Q26" s="8" t="n">
        <f aca="false">P26*K26</f>
        <v>50747.625</v>
      </c>
      <c r="R26" s="6"/>
      <c r="S26" s="10" t="n">
        <f aca="false">S2</f>
        <v>46111</v>
      </c>
      <c r="T26" s="10" t="n">
        <f aca="false">WORKDAY(S26,J26-1)</f>
        <v>46441</v>
      </c>
    </row>
    <row r="27" customFormat="false" ht="14.25" hidden="false" customHeight="false" outlineLevel="0" collapsed="false">
      <c r="A27" s="6" t="s">
        <v>20</v>
      </c>
      <c r="B27" s="6" t="s">
        <v>51</v>
      </c>
      <c r="C27" s="6" t="s">
        <v>82</v>
      </c>
      <c r="D27" s="7" t="s">
        <v>88</v>
      </c>
      <c r="E27" s="7" t="s">
        <v>89</v>
      </c>
      <c r="F27" s="7" t="s">
        <v>66</v>
      </c>
      <c r="G27" s="6" t="n">
        <v>0.1</v>
      </c>
      <c r="H27" s="7"/>
      <c r="I27" s="6" t="n">
        <v>1</v>
      </c>
      <c r="J27" s="11" t="n">
        <v>237</v>
      </c>
      <c r="K27" s="6" t="n">
        <f aca="false">G27*I27*J27</f>
        <v>23.7</v>
      </c>
      <c r="L27" s="6" t="s">
        <v>90</v>
      </c>
      <c r="M27" s="6" t="s">
        <v>26</v>
      </c>
      <c r="N27" s="6" t="s">
        <v>27</v>
      </c>
      <c r="O27" s="6" t="s">
        <v>28</v>
      </c>
      <c r="P27" s="8" t="n">
        <v>428.25</v>
      </c>
      <c r="Q27" s="8" t="n">
        <f aca="false">P27*K27</f>
        <v>10149.525</v>
      </c>
      <c r="R27" s="6"/>
      <c r="S27" s="10" t="n">
        <f aca="false">S2</f>
        <v>46111</v>
      </c>
      <c r="T27" s="10" t="n">
        <f aca="false">WORKDAY(S27,J27-1)</f>
        <v>46441</v>
      </c>
    </row>
    <row r="28" customFormat="false" ht="14.25" hidden="false" customHeight="false" outlineLevel="0" collapsed="false">
      <c r="K28" s="6" t="n">
        <f aca="false">SUM(K2:K27)</f>
        <v>857.95</v>
      </c>
      <c r="Q28" s="8" t="n">
        <f aca="false">SUM(Q2:Q27)</f>
        <v>249051.8475</v>
      </c>
    </row>
    <row r="29" customFormat="false" ht="14.25" hidden="false" customHeight="false" outlineLevel="0" collapsed="false">
      <c r="Q29" s="12" t="n">
        <f aca="false">Q28*179</f>
        <v>44580280.7025</v>
      </c>
    </row>
  </sheetData>
  <autoFilter ref="A1:T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1" activeCellId="0" sqref="I31"/>
    </sheetView>
  </sheetViews>
  <sheetFormatPr defaultColWidth="9.00390625" defaultRowHeight="14.4" zeroHeight="false" outlineLevelRow="0" outlineLevelCol="0"/>
  <cols>
    <col collapsed="false" customWidth="false" hidden="false" outlineLevel="0" max="1" min="1" style="13" width="9"/>
    <col collapsed="false" customWidth="true" hidden="false" outlineLevel="0" max="2" min="2" style="13" width="11.45"/>
    <col collapsed="false" customWidth="true" hidden="false" outlineLevel="0" max="3" min="3" style="14" width="54.11"/>
    <col collapsed="false" customWidth="false" hidden="false" outlineLevel="0" max="16384" min="4" style="13" width="9"/>
  </cols>
  <sheetData>
    <row r="1" customFormat="false" ht="16.4" hidden="false" customHeight="false" outlineLevel="0" collapsed="false">
      <c r="A1" s="15" t="s">
        <v>91</v>
      </c>
      <c r="B1" s="15" t="s">
        <v>92</v>
      </c>
      <c r="C1" s="16" t="s">
        <v>93</v>
      </c>
    </row>
    <row r="2" customFormat="false" ht="16.4" hidden="false" customHeight="false" outlineLevel="0" collapsed="false">
      <c r="A2" s="13" t="s">
        <v>56</v>
      </c>
      <c r="B2" s="13" t="s">
        <v>94</v>
      </c>
      <c r="C2" s="14" t="s">
        <v>95</v>
      </c>
    </row>
    <row r="3" customFormat="false" ht="30" hidden="false" customHeight="true" outlineLevel="0" collapsed="false">
      <c r="A3" s="13" t="s">
        <v>56</v>
      </c>
      <c r="B3" s="13" t="s">
        <v>96</v>
      </c>
      <c r="C3" s="14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4.25" zeroHeight="false" outlineLevelRow="0" outlineLevelCol="0"/>
  <cols>
    <col collapsed="false" customWidth="true" hidden="false" outlineLevel="0" max="1" min="1" style="17" width="9.03"/>
    <col collapsed="false" customWidth="true" hidden="false" outlineLevel="0" max="2" min="2" style="17" width="12.21"/>
    <col collapsed="false" customWidth="true" hidden="false" outlineLevel="0" max="3" min="3" style="17" width="31.62"/>
    <col collapsed="false" customWidth="true" hidden="false" outlineLevel="0" max="4" min="4" style="17" width="29.35"/>
    <col collapsed="false" customWidth="true" hidden="false" outlineLevel="0" max="5" min="5" style="17" width="10.13"/>
    <col collapsed="false" customWidth="true" hidden="false" outlineLevel="0" max="6" min="6" style="17" width="92.79"/>
    <col collapsed="false" customWidth="true" hidden="false" outlineLevel="0" max="7" min="7" style="17" width="11.75"/>
    <col collapsed="false" customWidth="true" hidden="false" outlineLevel="0" max="8" min="8" style="17" width="28.83"/>
    <col collapsed="false" customWidth="true" hidden="false" outlineLevel="0" max="9" min="9" style="17" width="11.55"/>
    <col collapsed="false" customWidth="true" hidden="false" outlineLevel="0" max="10" min="10" style="17" width="7.01"/>
    <col collapsed="false" customWidth="true" hidden="false" outlineLevel="0" max="11" min="11" style="17" width="15"/>
    <col collapsed="false" customWidth="true" hidden="false" outlineLevel="0" max="12" min="12" style="17" width="11.03"/>
    <col collapsed="false" customWidth="true" hidden="false" outlineLevel="0" max="13" min="13" style="17" width="3.71"/>
    <col collapsed="false" customWidth="true" hidden="false" outlineLevel="0" max="14" min="14" style="17" width="12.53"/>
    <col collapsed="false" customWidth="true" hidden="false" outlineLevel="0" max="15" min="15" style="17" width="5.33"/>
    <col collapsed="false" customWidth="true" hidden="false" outlineLevel="0" max="63" min="16" style="17" width="8.25"/>
    <col collapsed="false" customWidth="false" hidden="false" outlineLevel="0" max="16384" min="64" style="17" width="9.14"/>
  </cols>
  <sheetData>
    <row r="1" customFormat="false" ht="14.25" hidden="false" customHeight="false" outlineLevel="0" collapsed="false">
      <c r="A1" s="18" t="s">
        <v>0</v>
      </c>
      <c r="B1" s="18" t="s">
        <v>98</v>
      </c>
      <c r="C1" s="18" t="s">
        <v>99</v>
      </c>
      <c r="D1" s="18" t="s">
        <v>100</v>
      </c>
      <c r="E1" s="18" t="s">
        <v>101</v>
      </c>
      <c r="F1" s="18" t="s">
        <v>3</v>
      </c>
      <c r="G1" s="18" t="s">
        <v>4</v>
      </c>
      <c r="H1" s="18" t="s">
        <v>7</v>
      </c>
      <c r="I1" s="18" t="s">
        <v>11</v>
      </c>
      <c r="J1" s="18" t="s">
        <v>2</v>
      </c>
      <c r="K1" s="18" t="s">
        <v>12</v>
      </c>
      <c r="L1" s="18" t="s">
        <v>13</v>
      </c>
      <c r="M1" s="18" t="s">
        <v>14</v>
      </c>
      <c r="N1" s="18" t="s">
        <v>17</v>
      </c>
      <c r="O1" s="18" t="s">
        <v>10</v>
      </c>
      <c r="P1" s="18" t="s">
        <v>102</v>
      </c>
      <c r="Q1" s="18" t="s">
        <v>103</v>
      </c>
      <c r="R1" s="18" t="s">
        <v>104</v>
      </c>
      <c r="S1" s="18" t="s">
        <v>105</v>
      </c>
      <c r="T1" s="18" t="s">
        <v>106</v>
      </c>
      <c r="U1" s="18" t="s">
        <v>107</v>
      </c>
      <c r="V1" s="18" t="s">
        <v>108</v>
      </c>
      <c r="W1" s="18" t="s">
        <v>109</v>
      </c>
      <c r="X1" s="18" t="s">
        <v>110</v>
      </c>
      <c r="Y1" s="18" t="s">
        <v>111</v>
      </c>
      <c r="Z1" s="18" t="s">
        <v>112</v>
      </c>
      <c r="AA1" s="18" t="s">
        <v>113</v>
      </c>
      <c r="AB1" s="18" t="s">
        <v>114</v>
      </c>
      <c r="AC1" s="18" t="s">
        <v>115</v>
      </c>
      <c r="AD1" s="18" t="s">
        <v>116</v>
      </c>
      <c r="AE1" s="18" t="s">
        <v>117</v>
      </c>
      <c r="AF1" s="18" t="s">
        <v>118</v>
      </c>
      <c r="AG1" s="18" t="s">
        <v>119</v>
      </c>
      <c r="AH1" s="18" t="s">
        <v>120</v>
      </c>
      <c r="AI1" s="18" t="s">
        <v>121</v>
      </c>
      <c r="AJ1" s="18" t="s">
        <v>122</v>
      </c>
      <c r="AK1" s="18" t="s">
        <v>123</v>
      </c>
      <c r="AL1" s="18" t="s">
        <v>124</v>
      </c>
      <c r="AM1" s="18" t="s">
        <v>125</v>
      </c>
      <c r="AN1" s="18" t="s">
        <v>126</v>
      </c>
      <c r="AO1" s="18" t="s">
        <v>127</v>
      </c>
      <c r="AP1" s="18" t="s">
        <v>128</v>
      </c>
      <c r="AQ1" s="18" t="s">
        <v>129</v>
      </c>
      <c r="AR1" s="18" t="s">
        <v>130</v>
      </c>
      <c r="AS1" s="18" t="s">
        <v>131</v>
      </c>
      <c r="AT1" s="18" t="s">
        <v>132</v>
      </c>
      <c r="AU1" s="18" t="s">
        <v>133</v>
      </c>
      <c r="AV1" s="18" t="s">
        <v>134</v>
      </c>
      <c r="AW1" s="18" t="s">
        <v>135</v>
      </c>
      <c r="AX1" s="18" t="s">
        <v>136</v>
      </c>
      <c r="AY1" s="18" t="s">
        <v>137</v>
      </c>
      <c r="AZ1" s="18" t="s">
        <v>138</v>
      </c>
      <c r="BA1" s="18" t="s">
        <v>139</v>
      </c>
      <c r="BB1" s="18" t="s">
        <v>140</v>
      </c>
      <c r="BC1" s="18" t="s">
        <v>141</v>
      </c>
      <c r="BD1" s="18" t="s">
        <v>142</v>
      </c>
      <c r="BE1" s="18" t="s">
        <v>143</v>
      </c>
      <c r="BF1" s="18" t="s">
        <v>144</v>
      </c>
      <c r="BG1" s="18" t="s">
        <v>145</v>
      </c>
      <c r="BH1" s="18" t="s">
        <v>146</v>
      </c>
      <c r="BI1" s="18" t="s">
        <v>147</v>
      </c>
      <c r="BJ1" s="18" t="s">
        <v>148</v>
      </c>
      <c r="BK1" s="18" t="s">
        <v>149</v>
      </c>
    </row>
    <row r="2" customFormat="false" ht="14.25" hidden="false" customHeight="false" outlineLevel="0" collapsed="false">
      <c r="A2" s="17" t="s">
        <v>20</v>
      </c>
      <c r="B2" s="17" t="s">
        <v>150</v>
      </c>
      <c r="C2" s="17" t="s">
        <v>151</v>
      </c>
      <c r="D2" s="17" t="s">
        <v>152</v>
      </c>
      <c r="E2" s="17" t="s">
        <v>153</v>
      </c>
      <c r="F2" s="17" t="s">
        <v>22</v>
      </c>
      <c r="G2" s="17" t="s">
        <v>23</v>
      </c>
      <c r="I2" s="17" t="s">
        <v>25</v>
      </c>
      <c r="J2" s="17" t="s">
        <v>20</v>
      </c>
      <c r="K2" s="17" t="s">
        <v>26</v>
      </c>
      <c r="L2" s="17" t="s">
        <v>27</v>
      </c>
      <c r="M2" s="17" t="s">
        <v>28</v>
      </c>
      <c r="O2" s="17" t="n">
        <v>20</v>
      </c>
      <c r="P2" s="17" t="n">
        <v>4</v>
      </c>
      <c r="Q2" s="17" t="n">
        <v>5</v>
      </c>
      <c r="R2" s="17" t="n">
        <v>5</v>
      </c>
      <c r="S2" s="17" t="n">
        <v>5</v>
      </c>
      <c r="T2" s="17" t="n">
        <v>1</v>
      </c>
    </row>
    <row r="3" customFormat="false" ht="14.25" hidden="false" customHeight="false" outlineLevel="0" collapsed="false">
      <c r="A3" s="17" t="s">
        <v>29</v>
      </c>
      <c r="B3" s="17" t="s">
        <v>150</v>
      </c>
      <c r="C3" s="17" t="s">
        <v>151</v>
      </c>
      <c r="D3" s="17" t="s">
        <v>154</v>
      </c>
      <c r="E3" s="17" t="s">
        <v>155</v>
      </c>
      <c r="F3" s="17" t="s">
        <v>31</v>
      </c>
      <c r="G3" s="17" t="s">
        <v>32</v>
      </c>
      <c r="H3" s="17" t="s">
        <v>34</v>
      </c>
      <c r="I3" s="17" t="s">
        <v>35</v>
      </c>
      <c r="J3" s="17" t="s">
        <v>30</v>
      </c>
      <c r="K3" s="17" t="s">
        <v>26</v>
      </c>
      <c r="L3" s="17" t="s">
        <v>36</v>
      </c>
      <c r="M3" s="17" t="s">
        <v>37</v>
      </c>
      <c r="O3" s="17" t="n">
        <v>30</v>
      </c>
      <c r="R3" s="17" t="n">
        <v>4</v>
      </c>
      <c r="S3" s="17" t="n">
        <v>5</v>
      </c>
      <c r="T3" s="17" t="n">
        <v>5</v>
      </c>
      <c r="U3" s="17" t="n">
        <v>5</v>
      </c>
      <c r="V3" s="17" t="n">
        <v>5</v>
      </c>
      <c r="W3" s="17" t="n">
        <v>5</v>
      </c>
      <c r="X3" s="17" t="n">
        <v>1</v>
      </c>
    </row>
    <row r="4" customFormat="false" ht="14.25" hidden="false" customHeight="false" outlineLevel="0" collapsed="false">
      <c r="A4" s="17" t="s">
        <v>29</v>
      </c>
      <c r="B4" s="17" t="s">
        <v>150</v>
      </c>
      <c r="C4" s="17" t="s">
        <v>151</v>
      </c>
      <c r="D4" s="17" t="s">
        <v>154</v>
      </c>
      <c r="E4" s="17" t="s">
        <v>155</v>
      </c>
      <c r="F4" s="17" t="s">
        <v>38</v>
      </c>
      <c r="G4" s="17" t="s">
        <v>39</v>
      </c>
      <c r="H4" s="17" t="s">
        <v>34</v>
      </c>
      <c r="I4" s="17" t="s">
        <v>35</v>
      </c>
      <c r="J4" s="17" t="s">
        <v>30</v>
      </c>
      <c r="K4" s="17" t="s">
        <v>26</v>
      </c>
      <c r="L4" s="17" t="s">
        <v>36</v>
      </c>
      <c r="M4" s="17" t="s">
        <v>37</v>
      </c>
      <c r="O4" s="17" t="n">
        <v>6</v>
      </c>
      <c r="X4" s="17" t="n">
        <v>4</v>
      </c>
      <c r="Y4" s="17" t="n">
        <v>2</v>
      </c>
    </row>
    <row r="5" customFormat="false" ht="14.25" hidden="false" customHeight="false" outlineLevel="0" collapsed="false">
      <c r="A5" s="17" t="s">
        <v>29</v>
      </c>
      <c r="B5" s="17" t="s">
        <v>156</v>
      </c>
      <c r="C5" s="17" t="s">
        <v>157</v>
      </c>
      <c r="D5" s="17" t="s">
        <v>158</v>
      </c>
      <c r="E5" s="17" t="s">
        <v>159</v>
      </c>
      <c r="F5" s="17" t="s">
        <v>41</v>
      </c>
      <c r="G5" s="17" t="s">
        <v>42</v>
      </c>
      <c r="I5" s="17" t="s">
        <v>44</v>
      </c>
      <c r="J5" s="17" t="s">
        <v>30</v>
      </c>
      <c r="K5" s="17" t="s">
        <v>45</v>
      </c>
      <c r="L5" s="17" t="s">
        <v>27</v>
      </c>
      <c r="M5" s="17" t="s">
        <v>28</v>
      </c>
      <c r="O5" s="17" t="n">
        <v>4</v>
      </c>
      <c r="Y5" s="17" t="n">
        <v>3</v>
      </c>
      <c r="Z5" s="17" t="n">
        <v>1</v>
      </c>
    </row>
    <row r="6" customFormat="false" ht="14.25" hidden="false" customHeight="false" outlineLevel="0" collapsed="false">
      <c r="A6" s="17" t="s">
        <v>29</v>
      </c>
      <c r="B6" s="17" t="s">
        <v>156</v>
      </c>
      <c r="C6" s="17" t="s">
        <v>157</v>
      </c>
      <c r="D6" s="17" t="s">
        <v>158</v>
      </c>
      <c r="E6" s="17" t="s">
        <v>159</v>
      </c>
      <c r="F6" s="17" t="s">
        <v>46</v>
      </c>
      <c r="G6" s="17" t="s">
        <v>47</v>
      </c>
      <c r="H6" s="17" t="s">
        <v>48</v>
      </c>
      <c r="I6" s="17" t="s">
        <v>44</v>
      </c>
      <c r="J6" s="17" t="s">
        <v>30</v>
      </c>
      <c r="K6" s="17" t="s">
        <v>45</v>
      </c>
      <c r="L6" s="17" t="s">
        <v>27</v>
      </c>
      <c r="M6" s="17" t="s">
        <v>28</v>
      </c>
      <c r="O6" s="17" t="n">
        <v>6</v>
      </c>
      <c r="Z6" s="17" t="n">
        <v>6</v>
      </c>
    </row>
    <row r="7" customFormat="false" ht="14.25" hidden="false" customHeight="false" outlineLevel="0" collapsed="false">
      <c r="A7" s="17" t="s">
        <v>29</v>
      </c>
      <c r="B7" s="17" t="s">
        <v>160</v>
      </c>
      <c r="C7" s="17" t="s">
        <v>161</v>
      </c>
      <c r="D7" s="17" t="s">
        <v>162</v>
      </c>
      <c r="E7" s="17" t="s">
        <v>159</v>
      </c>
      <c r="F7" s="17" t="s">
        <v>49</v>
      </c>
      <c r="G7" s="17" t="s">
        <v>50</v>
      </c>
      <c r="H7" s="17" t="s">
        <v>48</v>
      </c>
      <c r="I7" s="17" t="s">
        <v>44</v>
      </c>
      <c r="J7" s="17" t="s">
        <v>30</v>
      </c>
      <c r="K7" s="17" t="s">
        <v>45</v>
      </c>
      <c r="L7" s="17" t="s">
        <v>27</v>
      </c>
      <c r="M7" s="17" t="s">
        <v>28</v>
      </c>
      <c r="O7" s="17" t="n">
        <v>32</v>
      </c>
      <c r="Z7" s="17" t="n">
        <v>2</v>
      </c>
      <c r="AA7" s="17" t="n">
        <v>10</v>
      </c>
      <c r="AB7" s="17" t="n">
        <v>10</v>
      </c>
      <c r="AC7" s="17" t="n">
        <v>10</v>
      </c>
    </row>
    <row r="8" customFormat="false" ht="14.25" hidden="false" customHeight="false" outlineLevel="0" collapsed="false">
      <c r="A8" s="17" t="s">
        <v>29</v>
      </c>
      <c r="B8" s="17" t="s">
        <v>150</v>
      </c>
      <c r="C8" s="17" t="s">
        <v>151</v>
      </c>
      <c r="D8" s="17" t="s">
        <v>163</v>
      </c>
      <c r="E8" s="17" t="s">
        <v>153</v>
      </c>
      <c r="F8" s="17" t="s">
        <v>52</v>
      </c>
      <c r="G8" s="17" t="s">
        <v>53</v>
      </c>
      <c r="H8" s="17" t="s">
        <v>48</v>
      </c>
      <c r="I8" s="17" t="s">
        <v>25</v>
      </c>
      <c r="J8" s="17" t="s">
        <v>20</v>
      </c>
      <c r="K8" s="17" t="s">
        <v>26</v>
      </c>
      <c r="L8" s="17" t="s">
        <v>27</v>
      </c>
      <c r="M8" s="17" t="s">
        <v>28</v>
      </c>
      <c r="N8" s="17" t="s">
        <v>55</v>
      </c>
      <c r="O8" s="17" t="n">
        <v>8</v>
      </c>
      <c r="Z8" s="17" t="n">
        <v>0.5</v>
      </c>
      <c r="AA8" s="17" t="n">
        <v>2.5</v>
      </c>
      <c r="AB8" s="17" t="n">
        <v>2.5</v>
      </c>
      <c r="AC8" s="17" t="n">
        <v>2.5</v>
      </c>
    </row>
    <row r="9" customFormat="false" ht="14.25" hidden="false" customHeight="false" outlineLevel="0" collapsed="false">
      <c r="A9" s="17" t="s">
        <v>29</v>
      </c>
      <c r="B9" s="17" t="s">
        <v>150</v>
      </c>
      <c r="C9" s="17" t="s">
        <v>151</v>
      </c>
      <c r="D9" s="17" t="s">
        <v>152</v>
      </c>
      <c r="E9" s="17" t="s">
        <v>153</v>
      </c>
      <c r="F9" s="17" t="s">
        <v>57</v>
      </c>
      <c r="G9" s="17" t="s">
        <v>58</v>
      </c>
      <c r="H9" s="17" t="s">
        <v>60</v>
      </c>
      <c r="I9" s="17" t="s">
        <v>25</v>
      </c>
      <c r="J9" s="17" t="s">
        <v>30</v>
      </c>
      <c r="K9" s="17" t="s">
        <v>26</v>
      </c>
      <c r="L9" s="17" t="s">
        <v>27</v>
      </c>
      <c r="M9" s="17" t="s">
        <v>28</v>
      </c>
      <c r="O9" s="17" t="n">
        <v>8</v>
      </c>
      <c r="T9" s="17" t="n">
        <v>4</v>
      </c>
      <c r="U9" s="17" t="n">
        <v>4</v>
      </c>
    </row>
    <row r="10" customFormat="false" ht="14.25" hidden="false" customHeight="false" outlineLevel="0" collapsed="false">
      <c r="A10" s="17" t="s">
        <v>29</v>
      </c>
      <c r="B10" s="17" t="s">
        <v>164</v>
      </c>
      <c r="C10" s="17" t="s">
        <v>165</v>
      </c>
      <c r="D10" s="17" t="s">
        <v>166</v>
      </c>
      <c r="E10" s="17" t="s">
        <v>159</v>
      </c>
      <c r="F10" s="17" t="s">
        <v>61</v>
      </c>
      <c r="G10" s="17" t="s">
        <v>62</v>
      </c>
      <c r="H10" s="17" t="s">
        <v>60</v>
      </c>
      <c r="I10" s="17" t="s">
        <v>44</v>
      </c>
      <c r="J10" s="17" t="s">
        <v>30</v>
      </c>
      <c r="K10" s="17" t="s">
        <v>45</v>
      </c>
      <c r="L10" s="17" t="s">
        <v>27</v>
      </c>
      <c r="M10" s="17" t="s">
        <v>28</v>
      </c>
      <c r="O10" s="17" t="n">
        <v>40</v>
      </c>
      <c r="U10" s="17" t="n">
        <v>1</v>
      </c>
      <c r="V10" s="17" t="n">
        <v>5</v>
      </c>
      <c r="W10" s="17" t="n">
        <v>5</v>
      </c>
      <c r="X10" s="17" t="n">
        <v>5</v>
      </c>
      <c r="Y10" s="17" t="n">
        <v>5</v>
      </c>
      <c r="Z10" s="17" t="n">
        <v>5</v>
      </c>
      <c r="AA10" s="17" t="n">
        <v>5</v>
      </c>
      <c r="AB10" s="17" t="n">
        <v>5</v>
      </c>
      <c r="AC10" s="17" t="n">
        <v>4</v>
      </c>
    </row>
    <row r="11" customFormat="false" ht="14.25" hidden="false" customHeight="false" outlineLevel="0" collapsed="false">
      <c r="A11" s="17" t="s">
        <v>29</v>
      </c>
      <c r="B11" s="17" t="s">
        <v>150</v>
      </c>
      <c r="C11" s="17" t="s">
        <v>151</v>
      </c>
      <c r="D11" s="17" t="s">
        <v>152</v>
      </c>
      <c r="E11" s="17" t="s">
        <v>153</v>
      </c>
      <c r="F11" s="17" t="s">
        <v>64</v>
      </c>
      <c r="G11" s="17" t="s">
        <v>65</v>
      </c>
      <c r="H11" s="17" t="s">
        <v>67</v>
      </c>
      <c r="I11" s="17" t="s">
        <v>25</v>
      </c>
      <c r="J11" s="17" t="s">
        <v>20</v>
      </c>
      <c r="K11" s="17" t="s">
        <v>26</v>
      </c>
      <c r="L11" s="17" t="s">
        <v>27</v>
      </c>
      <c r="M11" s="17" t="s">
        <v>28</v>
      </c>
      <c r="O11" s="17" t="n">
        <v>20</v>
      </c>
      <c r="AC11" s="17" t="n">
        <v>0.5</v>
      </c>
      <c r="AD11" s="17" t="n">
        <v>2.5</v>
      </c>
      <c r="AE11" s="17" t="n">
        <v>2.5</v>
      </c>
      <c r="AF11" s="17" t="n">
        <v>2.5</v>
      </c>
      <c r="AG11" s="17" t="n">
        <v>2.5</v>
      </c>
      <c r="AH11" s="17" t="n">
        <v>2.5</v>
      </c>
      <c r="AI11" s="17" t="n">
        <v>2.5</v>
      </c>
      <c r="AJ11" s="17" t="n">
        <v>2.5</v>
      </c>
      <c r="AK11" s="17" t="n">
        <v>2</v>
      </c>
    </row>
    <row r="12" customFormat="false" ht="14.25" hidden="false" customHeight="false" outlineLevel="0" collapsed="false">
      <c r="A12" s="17" t="s">
        <v>68</v>
      </c>
      <c r="B12" s="17" t="s">
        <v>150</v>
      </c>
      <c r="C12" s="17" t="s">
        <v>151</v>
      </c>
      <c r="D12" s="17" t="s">
        <v>154</v>
      </c>
      <c r="E12" s="17" t="s">
        <v>155</v>
      </c>
      <c r="F12" s="17" t="s">
        <v>38</v>
      </c>
      <c r="G12" s="17" t="s">
        <v>39</v>
      </c>
      <c r="H12" s="17" t="s">
        <v>69</v>
      </c>
      <c r="I12" s="17" t="s">
        <v>35</v>
      </c>
      <c r="J12" s="17" t="s">
        <v>30</v>
      </c>
      <c r="K12" s="17" t="s">
        <v>26</v>
      </c>
      <c r="L12" s="17" t="s">
        <v>36</v>
      </c>
      <c r="M12" s="17" t="s">
        <v>37</v>
      </c>
      <c r="O12" s="17" t="n">
        <v>96</v>
      </c>
      <c r="Y12" s="17" t="n">
        <v>3</v>
      </c>
      <c r="Z12" s="17" t="n">
        <v>5</v>
      </c>
      <c r="AA12" s="17" t="n">
        <v>5</v>
      </c>
      <c r="AB12" s="17" t="n">
        <v>5</v>
      </c>
      <c r="AC12" s="17" t="n">
        <v>5</v>
      </c>
      <c r="AD12" s="17" t="n">
        <v>5</v>
      </c>
      <c r="AE12" s="17" t="n">
        <v>5</v>
      </c>
      <c r="AF12" s="17" t="n">
        <v>5</v>
      </c>
      <c r="AG12" s="17" t="n">
        <v>5</v>
      </c>
      <c r="AH12" s="17" t="n">
        <v>5</v>
      </c>
      <c r="AI12" s="17" t="n">
        <v>5</v>
      </c>
      <c r="AJ12" s="17" t="n">
        <v>5</v>
      </c>
      <c r="AK12" s="17" t="n">
        <v>5</v>
      </c>
      <c r="AL12" s="17" t="n">
        <v>5</v>
      </c>
      <c r="AM12" s="17" t="n">
        <v>5</v>
      </c>
      <c r="AN12" s="17" t="n">
        <v>5</v>
      </c>
      <c r="AO12" s="17" t="n">
        <v>5</v>
      </c>
      <c r="AP12" s="17" t="n">
        <v>5</v>
      </c>
      <c r="AQ12" s="17" t="n">
        <v>5</v>
      </c>
      <c r="AR12" s="17" t="n">
        <v>3</v>
      </c>
    </row>
    <row r="13" customFormat="false" ht="14.25" hidden="false" customHeight="false" outlineLevel="0" collapsed="false">
      <c r="A13" s="17" t="s">
        <v>68</v>
      </c>
      <c r="B13" s="17" t="s">
        <v>156</v>
      </c>
      <c r="C13" s="17" t="s">
        <v>157</v>
      </c>
      <c r="D13" s="17" t="s">
        <v>158</v>
      </c>
      <c r="E13" s="17" t="s">
        <v>159</v>
      </c>
      <c r="F13" s="17" t="s">
        <v>46</v>
      </c>
      <c r="G13" s="17" t="s">
        <v>47</v>
      </c>
      <c r="H13" s="17" t="s">
        <v>69</v>
      </c>
      <c r="I13" s="17" t="s">
        <v>44</v>
      </c>
      <c r="J13" s="17" t="s">
        <v>30</v>
      </c>
      <c r="K13" s="17" t="s">
        <v>45</v>
      </c>
      <c r="L13" s="17" t="s">
        <v>27</v>
      </c>
      <c r="M13" s="17" t="s">
        <v>28</v>
      </c>
      <c r="O13" s="17" t="n">
        <v>48</v>
      </c>
      <c r="AD13" s="17" t="n">
        <v>10</v>
      </c>
      <c r="AE13" s="17" t="n">
        <v>10</v>
      </c>
      <c r="AF13" s="17" t="n">
        <v>10</v>
      </c>
      <c r="AG13" s="17" t="n">
        <v>10</v>
      </c>
      <c r="AH13" s="17" t="n">
        <v>8</v>
      </c>
    </row>
    <row r="14" customFormat="false" ht="14.25" hidden="false" customHeight="false" outlineLevel="0" collapsed="false">
      <c r="A14" s="17" t="s">
        <v>68</v>
      </c>
      <c r="B14" s="17" t="s">
        <v>160</v>
      </c>
      <c r="C14" s="17" t="s">
        <v>161</v>
      </c>
      <c r="D14" s="17" t="s">
        <v>162</v>
      </c>
      <c r="E14" s="17" t="s">
        <v>159</v>
      </c>
      <c r="F14" s="17" t="s">
        <v>49</v>
      </c>
      <c r="G14" s="17" t="s">
        <v>50</v>
      </c>
      <c r="H14" s="17" t="s">
        <v>69</v>
      </c>
      <c r="I14" s="17" t="s">
        <v>44</v>
      </c>
      <c r="J14" s="17" t="s">
        <v>30</v>
      </c>
      <c r="K14" s="17" t="s">
        <v>45</v>
      </c>
      <c r="L14" s="17" t="s">
        <v>27</v>
      </c>
      <c r="M14" s="17" t="s">
        <v>28</v>
      </c>
      <c r="O14" s="17" t="n">
        <v>256</v>
      </c>
      <c r="AH14" s="17" t="n">
        <v>2</v>
      </c>
      <c r="AI14" s="17" t="n">
        <v>10</v>
      </c>
      <c r="AJ14" s="17" t="n">
        <v>10</v>
      </c>
      <c r="AK14" s="17" t="n">
        <v>10</v>
      </c>
      <c r="AL14" s="17" t="n">
        <v>10</v>
      </c>
      <c r="AM14" s="17" t="n">
        <v>10</v>
      </c>
      <c r="AN14" s="17" t="n">
        <v>10</v>
      </c>
      <c r="AO14" s="17" t="n">
        <v>10</v>
      </c>
      <c r="AP14" s="17" t="n">
        <v>10</v>
      </c>
      <c r="AQ14" s="17" t="n">
        <v>10</v>
      </c>
      <c r="AR14" s="17" t="n">
        <v>10</v>
      </c>
      <c r="AS14" s="17" t="n">
        <v>10</v>
      </c>
      <c r="AT14" s="17" t="n">
        <v>10</v>
      </c>
      <c r="AU14" s="17" t="n">
        <v>10</v>
      </c>
      <c r="AV14" s="17" t="n">
        <v>10</v>
      </c>
      <c r="AW14" s="17" t="n">
        <v>10</v>
      </c>
      <c r="AX14" s="17" t="n">
        <v>10</v>
      </c>
      <c r="AY14" s="17" t="n">
        <v>10</v>
      </c>
      <c r="AZ14" s="17" t="n">
        <v>10</v>
      </c>
      <c r="BA14" s="17" t="n">
        <v>10</v>
      </c>
      <c r="BB14" s="17" t="n">
        <v>10</v>
      </c>
      <c r="BC14" s="17" t="n">
        <v>10</v>
      </c>
      <c r="BD14" s="17" t="n">
        <v>10</v>
      </c>
      <c r="BE14" s="17" t="n">
        <v>10</v>
      </c>
      <c r="BF14" s="17" t="n">
        <v>10</v>
      </c>
      <c r="BG14" s="17" t="n">
        <v>10</v>
      </c>
      <c r="BH14" s="17" t="n">
        <v>4</v>
      </c>
    </row>
    <row r="15" customFormat="false" ht="14.25" hidden="false" customHeight="false" outlineLevel="0" collapsed="false">
      <c r="A15" s="17" t="s">
        <v>68</v>
      </c>
      <c r="B15" s="17" t="s">
        <v>150</v>
      </c>
      <c r="C15" s="17" t="s">
        <v>151</v>
      </c>
      <c r="D15" s="17" t="s">
        <v>163</v>
      </c>
      <c r="E15" s="17" t="s">
        <v>153</v>
      </c>
      <c r="F15" s="17" t="s">
        <v>52</v>
      </c>
      <c r="G15" s="17" t="s">
        <v>53</v>
      </c>
      <c r="H15" s="17" t="s">
        <v>69</v>
      </c>
      <c r="I15" s="17" t="s">
        <v>25</v>
      </c>
      <c r="J15" s="17" t="s">
        <v>20</v>
      </c>
      <c r="K15" s="17" t="s">
        <v>26</v>
      </c>
      <c r="L15" s="17" t="s">
        <v>27</v>
      </c>
      <c r="M15" s="17" t="s">
        <v>28</v>
      </c>
      <c r="N15" s="17" t="s">
        <v>55</v>
      </c>
      <c r="O15" s="17" t="n">
        <v>76</v>
      </c>
      <c r="AD15" s="17" t="n">
        <v>2.5</v>
      </c>
      <c r="AE15" s="17" t="n">
        <v>2.5</v>
      </c>
      <c r="AF15" s="17" t="n">
        <v>2.5</v>
      </c>
      <c r="AG15" s="17" t="n">
        <v>2.5</v>
      </c>
      <c r="AH15" s="17" t="n">
        <v>2.5</v>
      </c>
      <c r="AI15" s="17" t="n">
        <v>2.5</v>
      </c>
      <c r="AJ15" s="17" t="n">
        <v>2.5</v>
      </c>
      <c r="AK15" s="17" t="n">
        <v>2.5</v>
      </c>
      <c r="AL15" s="17" t="n">
        <v>2.5</v>
      </c>
      <c r="AM15" s="17" t="n">
        <v>2.5</v>
      </c>
      <c r="AN15" s="17" t="n">
        <v>2.5</v>
      </c>
      <c r="AO15" s="17" t="n">
        <v>2.5</v>
      </c>
      <c r="AP15" s="17" t="n">
        <v>2.5</v>
      </c>
      <c r="AQ15" s="17" t="n">
        <v>2.5</v>
      </c>
      <c r="AR15" s="17" t="n">
        <v>2.5</v>
      </c>
      <c r="AS15" s="17" t="n">
        <v>2.5</v>
      </c>
      <c r="AT15" s="17" t="n">
        <v>2.5</v>
      </c>
      <c r="AU15" s="17" t="n">
        <v>2.5</v>
      </c>
      <c r="AV15" s="17" t="n">
        <v>2.5</v>
      </c>
      <c r="AW15" s="17" t="n">
        <v>2.5</v>
      </c>
      <c r="AX15" s="17" t="n">
        <v>2.5</v>
      </c>
      <c r="AY15" s="17" t="n">
        <v>2.5</v>
      </c>
      <c r="AZ15" s="17" t="n">
        <v>2.5</v>
      </c>
      <c r="BA15" s="17" t="n">
        <v>2.5</v>
      </c>
      <c r="BB15" s="17" t="n">
        <v>2.5</v>
      </c>
      <c r="BC15" s="17" t="n">
        <v>2.5</v>
      </c>
      <c r="BD15" s="17" t="n">
        <v>2.5</v>
      </c>
      <c r="BE15" s="17" t="n">
        <v>2.5</v>
      </c>
      <c r="BF15" s="17" t="n">
        <v>2.5</v>
      </c>
      <c r="BG15" s="17" t="n">
        <v>2.5</v>
      </c>
      <c r="BH15" s="17" t="n">
        <v>1</v>
      </c>
    </row>
    <row r="16" customFormat="false" ht="14.25" hidden="false" customHeight="false" outlineLevel="0" collapsed="false">
      <c r="A16" s="17" t="s">
        <v>68</v>
      </c>
      <c r="B16" s="17" t="s">
        <v>156</v>
      </c>
      <c r="C16" s="17" t="s">
        <v>157</v>
      </c>
      <c r="D16" s="17" t="s">
        <v>158</v>
      </c>
      <c r="E16" s="17" t="s">
        <v>159</v>
      </c>
      <c r="F16" s="17" t="s">
        <v>70</v>
      </c>
      <c r="G16" s="17" t="s">
        <v>71</v>
      </c>
      <c r="H16" s="17" t="s">
        <v>72</v>
      </c>
      <c r="I16" s="17" t="s">
        <v>44</v>
      </c>
      <c r="J16" s="17" t="s">
        <v>30</v>
      </c>
      <c r="K16" s="17" t="s">
        <v>45</v>
      </c>
      <c r="L16" s="17" t="s">
        <v>27</v>
      </c>
      <c r="M16" s="17" t="s">
        <v>28</v>
      </c>
      <c r="O16" s="17" t="n">
        <v>2</v>
      </c>
      <c r="BH16" s="17" t="n">
        <v>2</v>
      </c>
    </row>
    <row r="17" customFormat="false" ht="14.25" hidden="false" customHeight="false" outlineLevel="0" collapsed="false">
      <c r="A17" s="17" t="s">
        <v>68</v>
      </c>
      <c r="B17" s="17" t="s">
        <v>156</v>
      </c>
      <c r="C17" s="17" t="s">
        <v>157</v>
      </c>
      <c r="D17" s="17" t="s">
        <v>158</v>
      </c>
      <c r="E17" s="17" t="s">
        <v>159</v>
      </c>
      <c r="F17" s="17" t="s">
        <v>73</v>
      </c>
      <c r="G17" s="17" t="s">
        <v>74</v>
      </c>
      <c r="H17" s="17" t="s">
        <v>72</v>
      </c>
      <c r="I17" s="17" t="s">
        <v>44</v>
      </c>
      <c r="J17" s="17" t="s">
        <v>30</v>
      </c>
      <c r="K17" s="17" t="s">
        <v>45</v>
      </c>
      <c r="L17" s="17" t="s">
        <v>27</v>
      </c>
      <c r="M17" s="17" t="s">
        <v>28</v>
      </c>
      <c r="O17" s="17" t="n">
        <v>3</v>
      </c>
      <c r="BH17" s="17" t="n">
        <v>1.5</v>
      </c>
      <c r="BI17" s="17" t="n">
        <v>1.5</v>
      </c>
    </row>
    <row r="18" customFormat="false" ht="14.25" hidden="false" customHeight="false" outlineLevel="0" collapsed="false">
      <c r="A18" s="17" t="s">
        <v>68</v>
      </c>
      <c r="B18" s="17" t="s">
        <v>150</v>
      </c>
      <c r="C18" s="17" t="s">
        <v>151</v>
      </c>
      <c r="D18" s="17" t="s">
        <v>163</v>
      </c>
      <c r="E18" s="17" t="s">
        <v>153</v>
      </c>
      <c r="F18" s="17" t="s">
        <v>52</v>
      </c>
      <c r="G18" s="17" t="s">
        <v>53</v>
      </c>
      <c r="H18" s="17" t="s">
        <v>72</v>
      </c>
      <c r="I18" s="17" t="s">
        <v>25</v>
      </c>
      <c r="J18" s="17" t="s">
        <v>20</v>
      </c>
      <c r="K18" s="17" t="s">
        <v>26</v>
      </c>
      <c r="L18" s="17" t="s">
        <v>27</v>
      </c>
      <c r="M18" s="17" t="s">
        <v>28</v>
      </c>
      <c r="N18" s="17" t="s">
        <v>55</v>
      </c>
      <c r="O18" s="17" t="n">
        <v>1</v>
      </c>
      <c r="BH18" s="17" t="n">
        <v>0.5</v>
      </c>
      <c r="BI18" s="17" t="n">
        <v>0.5</v>
      </c>
    </row>
    <row r="19" customFormat="false" ht="14.25" hidden="false" customHeight="false" outlineLevel="0" collapsed="false">
      <c r="A19" s="17" t="s">
        <v>68</v>
      </c>
      <c r="B19" s="17" t="s">
        <v>167</v>
      </c>
      <c r="C19" s="17" t="s">
        <v>168</v>
      </c>
      <c r="D19" s="17" t="s">
        <v>169</v>
      </c>
      <c r="E19" s="17" t="s">
        <v>159</v>
      </c>
      <c r="F19" s="17" t="s">
        <v>75</v>
      </c>
      <c r="G19" s="17" t="s">
        <v>76</v>
      </c>
      <c r="H19" s="17" t="s">
        <v>78</v>
      </c>
      <c r="I19" s="17" t="s">
        <v>44</v>
      </c>
      <c r="J19" s="17" t="s">
        <v>30</v>
      </c>
      <c r="K19" s="17" t="s">
        <v>45</v>
      </c>
      <c r="L19" s="17" t="s">
        <v>27</v>
      </c>
      <c r="M19" s="17" t="s">
        <v>28</v>
      </c>
      <c r="O19" s="17" t="n">
        <v>10</v>
      </c>
      <c r="BI19" s="17" t="n">
        <v>10</v>
      </c>
    </row>
    <row r="20" customFormat="false" ht="14.25" hidden="false" customHeight="false" outlineLevel="0" collapsed="false">
      <c r="A20" s="17" t="s">
        <v>68</v>
      </c>
      <c r="B20" s="17" t="s">
        <v>156</v>
      </c>
      <c r="C20" s="17" t="s">
        <v>157</v>
      </c>
      <c r="D20" s="17" t="s">
        <v>158</v>
      </c>
      <c r="E20" s="17" t="s">
        <v>159</v>
      </c>
      <c r="F20" s="17" t="s">
        <v>70</v>
      </c>
      <c r="G20" s="17" t="s">
        <v>71</v>
      </c>
      <c r="H20" s="17" t="s">
        <v>79</v>
      </c>
      <c r="I20" s="17" t="s">
        <v>44</v>
      </c>
      <c r="J20" s="17" t="s">
        <v>30</v>
      </c>
      <c r="K20" s="17" t="s">
        <v>45</v>
      </c>
      <c r="L20" s="17" t="s">
        <v>27</v>
      </c>
      <c r="M20" s="17" t="s">
        <v>28</v>
      </c>
      <c r="O20" s="17" t="n">
        <v>2</v>
      </c>
      <c r="BJ20" s="17" t="n">
        <v>2</v>
      </c>
    </row>
    <row r="21" customFormat="false" ht="14.25" hidden="false" customHeight="false" outlineLevel="0" collapsed="false">
      <c r="A21" s="17" t="s">
        <v>68</v>
      </c>
      <c r="B21" s="17" t="s">
        <v>156</v>
      </c>
      <c r="C21" s="17" t="s">
        <v>157</v>
      </c>
      <c r="D21" s="17" t="s">
        <v>158</v>
      </c>
      <c r="E21" s="17" t="s">
        <v>159</v>
      </c>
      <c r="F21" s="17" t="s">
        <v>73</v>
      </c>
      <c r="G21" s="17" t="s">
        <v>74</v>
      </c>
      <c r="H21" s="17" t="s">
        <v>79</v>
      </c>
      <c r="I21" s="17" t="s">
        <v>44</v>
      </c>
      <c r="J21" s="17" t="s">
        <v>30</v>
      </c>
      <c r="K21" s="17" t="s">
        <v>45</v>
      </c>
      <c r="L21" s="17" t="s">
        <v>27</v>
      </c>
      <c r="M21" s="17" t="s">
        <v>28</v>
      </c>
      <c r="O21" s="17" t="n">
        <v>3</v>
      </c>
      <c r="BJ21" s="17" t="n">
        <v>3</v>
      </c>
    </row>
    <row r="22" customFormat="false" ht="14.25" hidden="false" customHeight="false" outlineLevel="0" collapsed="false">
      <c r="A22" s="17" t="s">
        <v>68</v>
      </c>
      <c r="B22" s="17" t="s">
        <v>150</v>
      </c>
      <c r="C22" s="17" t="s">
        <v>151</v>
      </c>
      <c r="D22" s="17" t="s">
        <v>163</v>
      </c>
      <c r="E22" s="17" t="s">
        <v>153</v>
      </c>
      <c r="F22" s="17" t="s">
        <v>52</v>
      </c>
      <c r="G22" s="17" t="s">
        <v>53</v>
      </c>
      <c r="H22" s="17" t="s">
        <v>79</v>
      </c>
      <c r="I22" s="17" t="s">
        <v>25</v>
      </c>
      <c r="J22" s="17" t="s">
        <v>20</v>
      </c>
      <c r="K22" s="17" t="s">
        <v>26</v>
      </c>
      <c r="L22" s="17" t="s">
        <v>27</v>
      </c>
      <c r="M22" s="17" t="s">
        <v>28</v>
      </c>
      <c r="N22" s="17" t="s">
        <v>55</v>
      </c>
      <c r="O22" s="17" t="n">
        <v>1</v>
      </c>
      <c r="BJ22" s="17" t="n">
        <v>1</v>
      </c>
    </row>
    <row r="23" customFormat="false" ht="14.25" hidden="false" customHeight="false" outlineLevel="0" collapsed="false">
      <c r="A23" s="17" t="s">
        <v>68</v>
      </c>
      <c r="B23" s="17" t="s">
        <v>167</v>
      </c>
      <c r="C23" s="17" t="s">
        <v>168</v>
      </c>
      <c r="D23" s="17" t="s">
        <v>169</v>
      </c>
      <c r="E23" s="17" t="s">
        <v>159</v>
      </c>
      <c r="F23" s="17" t="s">
        <v>75</v>
      </c>
      <c r="G23" s="17" t="s">
        <v>76</v>
      </c>
      <c r="H23" s="17" t="s">
        <v>80</v>
      </c>
      <c r="I23" s="17" t="s">
        <v>44</v>
      </c>
      <c r="J23" s="17" t="s">
        <v>30</v>
      </c>
      <c r="K23" s="17" t="s">
        <v>45</v>
      </c>
      <c r="L23" s="17" t="s">
        <v>27</v>
      </c>
      <c r="M23" s="17" t="s">
        <v>28</v>
      </c>
      <c r="O23" s="17" t="n">
        <v>10</v>
      </c>
      <c r="BJ23" s="17" t="n">
        <v>4</v>
      </c>
      <c r="BK23" s="17" t="n">
        <v>6</v>
      </c>
    </row>
    <row r="24" customFormat="false" ht="14.25" hidden="false" customHeight="false" outlineLevel="0" collapsed="false">
      <c r="A24" s="17" t="s">
        <v>68</v>
      </c>
      <c r="B24" s="17" t="s">
        <v>150</v>
      </c>
      <c r="C24" s="17" t="s">
        <v>151</v>
      </c>
      <c r="D24" s="17" t="s">
        <v>152</v>
      </c>
      <c r="E24" s="17" t="s">
        <v>153</v>
      </c>
      <c r="F24" s="17" t="s">
        <v>64</v>
      </c>
      <c r="G24" s="17" t="s">
        <v>65</v>
      </c>
      <c r="H24" s="17" t="s">
        <v>81</v>
      </c>
      <c r="I24" s="17" t="s">
        <v>25</v>
      </c>
      <c r="J24" s="17" t="s">
        <v>20</v>
      </c>
      <c r="K24" s="17" t="s">
        <v>26</v>
      </c>
      <c r="L24" s="17" t="s">
        <v>27</v>
      </c>
      <c r="M24" s="17" t="s">
        <v>28</v>
      </c>
      <c r="O24" s="17" t="n">
        <v>7</v>
      </c>
      <c r="BH24" s="17" t="n">
        <v>0.5</v>
      </c>
      <c r="BI24" s="17" t="n">
        <v>2.5</v>
      </c>
      <c r="BJ24" s="17" t="n">
        <v>2.5</v>
      </c>
      <c r="BK24" s="17" t="n">
        <v>1.5</v>
      </c>
    </row>
    <row r="25" customFormat="false" ht="14.25" hidden="false" customHeight="false" outlineLevel="0" collapsed="false">
      <c r="A25" s="17" t="s">
        <v>20</v>
      </c>
      <c r="B25" s="17" t="s">
        <v>150</v>
      </c>
      <c r="C25" s="17" t="s">
        <v>151</v>
      </c>
      <c r="D25" s="17" t="s">
        <v>152</v>
      </c>
      <c r="E25" s="17" t="s">
        <v>153</v>
      </c>
      <c r="F25" s="17" t="s">
        <v>83</v>
      </c>
      <c r="G25" s="17" t="s">
        <v>84</v>
      </c>
      <c r="I25" s="17" t="s">
        <v>25</v>
      </c>
      <c r="J25" s="17" t="s">
        <v>82</v>
      </c>
      <c r="K25" s="17" t="s">
        <v>26</v>
      </c>
      <c r="L25" s="17" t="s">
        <v>27</v>
      </c>
      <c r="M25" s="17" t="s">
        <v>28</v>
      </c>
      <c r="O25" s="17" t="n">
        <v>26.75</v>
      </c>
      <c r="AK25" s="17" t="n">
        <v>0.25</v>
      </c>
      <c r="AL25" s="17" t="n">
        <v>1.25</v>
      </c>
      <c r="AM25" s="17" t="n">
        <v>1.25</v>
      </c>
      <c r="AN25" s="17" t="n">
        <v>1.25</v>
      </c>
      <c r="AO25" s="17" t="n">
        <v>1.25</v>
      </c>
      <c r="AP25" s="17" t="n">
        <v>1.25</v>
      </c>
      <c r="AQ25" s="17" t="n">
        <v>1.25</v>
      </c>
      <c r="AR25" s="17" t="n">
        <v>1.25</v>
      </c>
      <c r="AS25" s="17" t="n">
        <v>1.25</v>
      </c>
      <c r="AT25" s="17" t="n">
        <v>1.25</v>
      </c>
      <c r="AU25" s="17" t="n">
        <v>1.25</v>
      </c>
      <c r="AV25" s="17" t="n">
        <v>1.25</v>
      </c>
      <c r="AW25" s="17" t="n">
        <v>1.25</v>
      </c>
      <c r="AX25" s="17" t="n">
        <v>1.25</v>
      </c>
      <c r="AY25" s="17" t="n">
        <v>1.25</v>
      </c>
      <c r="AZ25" s="17" t="n">
        <v>1.25</v>
      </c>
      <c r="BA25" s="17" t="n">
        <v>1.25</v>
      </c>
      <c r="BB25" s="17" t="n">
        <v>1.25</v>
      </c>
      <c r="BC25" s="17" t="n">
        <v>1.25</v>
      </c>
      <c r="BD25" s="17" t="n">
        <v>1.25</v>
      </c>
      <c r="BE25" s="17" t="n">
        <v>1.25</v>
      </c>
      <c r="BF25" s="17" t="n">
        <v>1.25</v>
      </c>
      <c r="BG25" s="17" t="n">
        <v>0.25</v>
      </c>
    </row>
    <row r="26" customFormat="false" ht="14.25" hidden="false" customHeight="false" outlineLevel="0" collapsed="false">
      <c r="A26" s="17" t="s">
        <v>20</v>
      </c>
      <c r="B26" s="17" t="s">
        <v>66</v>
      </c>
      <c r="C26" s="17" t="s">
        <v>170</v>
      </c>
      <c r="D26" s="17" t="s">
        <v>171</v>
      </c>
      <c r="E26" s="17" t="s">
        <v>172</v>
      </c>
      <c r="F26" s="17" t="s">
        <v>85</v>
      </c>
      <c r="G26" s="17" t="s">
        <v>86</v>
      </c>
      <c r="I26" s="17" t="s">
        <v>87</v>
      </c>
      <c r="J26" s="17" t="s">
        <v>82</v>
      </c>
      <c r="K26" s="17" t="s">
        <v>26</v>
      </c>
      <c r="L26" s="17" t="s">
        <v>27</v>
      </c>
      <c r="M26" s="17" t="s">
        <v>28</v>
      </c>
      <c r="O26" s="17" t="n">
        <v>118.5</v>
      </c>
      <c r="P26" s="17" t="n">
        <v>2</v>
      </c>
      <c r="Q26" s="17" t="n">
        <v>2.5</v>
      </c>
      <c r="R26" s="17" t="n">
        <v>2.5</v>
      </c>
      <c r="S26" s="17" t="n">
        <v>2.5</v>
      </c>
      <c r="T26" s="17" t="n">
        <v>2.5</v>
      </c>
      <c r="U26" s="17" t="n">
        <v>2.5</v>
      </c>
      <c r="V26" s="17" t="n">
        <v>2.5</v>
      </c>
      <c r="W26" s="17" t="n">
        <v>2.5</v>
      </c>
      <c r="X26" s="17" t="n">
        <v>2.5</v>
      </c>
      <c r="Y26" s="17" t="n">
        <v>2.5</v>
      </c>
      <c r="Z26" s="17" t="n">
        <v>2.5</v>
      </c>
      <c r="AA26" s="17" t="n">
        <v>2.5</v>
      </c>
      <c r="AB26" s="17" t="n">
        <v>2.5</v>
      </c>
      <c r="AC26" s="17" t="n">
        <v>2.5</v>
      </c>
      <c r="AD26" s="17" t="n">
        <v>2.5</v>
      </c>
      <c r="AE26" s="17" t="n">
        <v>2.5</v>
      </c>
      <c r="AF26" s="17" t="n">
        <v>2.5</v>
      </c>
      <c r="AG26" s="17" t="n">
        <v>2.5</v>
      </c>
      <c r="AH26" s="17" t="n">
        <v>2.5</v>
      </c>
      <c r="AI26" s="17" t="n">
        <v>2.5</v>
      </c>
      <c r="AJ26" s="17" t="n">
        <v>2.5</v>
      </c>
      <c r="AK26" s="17" t="n">
        <v>2.5</v>
      </c>
      <c r="AL26" s="17" t="n">
        <v>2.5</v>
      </c>
      <c r="AM26" s="17" t="n">
        <v>2.5</v>
      </c>
      <c r="AN26" s="17" t="n">
        <v>2.5</v>
      </c>
      <c r="AO26" s="17" t="n">
        <v>2.5</v>
      </c>
      <c r="AP26" s="17" t="n">
        <v>2.5</v>
      </c>
      <c r="AQ26" s="17" t="n">
        <v>2.5</v>
      </c>
      <c r="AR26" s="17" t="n">
        <v>2.5</v>
      </c>
      <c r="AS26" s="17" t="n">
        <v>2.5</v>
      </c>
      <c r="AT26" s="17" t="n">
        <v>2.5</v>
      </c>
      <c r="AU26" s="17" t="n">
        <v>2.5</v>
      </c>
      <c r="AV26" s="17" t="n">
        <v>2.5</v>
      </c>
      <c r="AW26" s="17" t="n">
        <v>2.5</v>
      </c>
      <c r="AX26" s="17" t="n">
        <v>2.5</v>
      </c>
      <c r="AY26" s="17" t="n">
        <v>2.5</v>
      </c>
      <c r="AZ26" s="17" t="n">
        <v>2.5</v>
      </c>
      <c r="BA26" s="17" t="n">
        <v>2.5</v>
      </c>
      <c r="BB26" s="17" t="n">
        <v>2.5</v>
      </c>
      <c r="BC26" s="17" t="n">
        <v>2.5</v>
      </c>
      <c r="BD26" s="17" t="n">
        <v>2.5</v>
      </c>
      <c r="BE26" s="17" t="n">
        <v>2.5</v>
      </c>
      <c r="BF26" s="17" t="n">
        <v>2.5</v>
      </c>
      <c r="BG26" s="17" t="n">
        <v>2.5</v>
      </c>
      <c r="BH26" s="17" t="n">
        <v>2.5</v>
      </c>
      <c r="BI26" s="17" t="n">
        <v>2.5</v>
      </c>
      <c r="BJ26" s="17" t="n">
        <v>2.5</v>
      </c>
      <c r="BK26" s="17" t="n">
        <v>1.5</v>
      </c>
    </row>
    <row r="27" customFormat="false" ht="14.25" hidden="false" customHeight="false" outlineLevel="0" collapsed="false">
      <c r="A27" s="17" t="s">
        <v>20</v>
      </c>
      <c r="B27" s="17" t="s">
        <v>66</v>
      </c>
      <c r="C27" s="17" t="s">
        <v>170</v>
      </c>
      <c r="D27" s="17" t="s">
        <v>173</v>
      </c>
      <c r="E27" s="17" t="s">
        <v>174</v>
      </c>
      <c r="F27" s="17" t="s">
        <v>88</v>
      </c>
      <c r="G27" s="17" t="s">
        <v>89</v>
      </c>
      <c r="I27" s="17" t="s">
        <v>90</v>
      </c>
      <c r="J27" s="17" t="s">
        <v>82</v>
      </c>
      <c r="K27" s="17" t="s">
        <v>26</v>
      </c>
      <c r="L27" s="17" t="s">
        <v>27</v>
      </c>
      <c r="M27" s="17" t="s">
        <v>28</v>
      </c>
      <c r="O27" s="17" t="n">
        <v>23.7</v>
      </c>
      <c r="P27" s="17" t="n">
        <v>0.4</v>
      </c>
      <c r="Q27" s="17" t="n">
        <v>0.5</v>
      </c>
      <c r="R27" s="17" t="n">
        <v>0.5</v>
      </c>
      <c r="S27" s="17" t="n">
        <v>0.5</v>
      </c>
      <c r="T27" s="17" t="n">
        <v>0.5</v>
      </c>
      <c r="U27" s="17" t="n">
        <v>0.5</v>
      </c>
      <c r="V27" s="17" t="n">
        <v>0.5</v>
      </c>
      <c r="W27" s="17" t="n">
        <v>0.5</v>
      </c>
      <c r="X27" s="17" t="n">
        <v>0.5</v>
      </c>
      <c r="Y27" s="17" t="n">
        <v>0.5</v>
      </c>
      <c r="Z27" s="17" t="n">
        <v>0.5</v>
      </c>
      <c r="AA27" s="17" t="n">
        <v>0.5</v>
      </c>
      <c r="AB27" s="17" t="n">
        <v>0.5</v>
      </c>
      <c r="AC27" s="17" t="n">
        <v>0.5</v>
      </c>
      <c r="AD27" s="17" t="n">
        <v>0.5</v>
      </c>
      <c r="AE27" s="17" t="n">
        <v>0.5</v>
      </c>
      <c r="AF27" s="17" t="n">
        <v>0.5</v>
      </c>
      <c r="AG27" s="17" t="n">
        <v>0.5</v>
      </c>
      <c r="AH27" s="17" t="n">
        <v>0.5</v>
      </c>
      <c r="AI27" s="17" t="n">
        <v>0.5</v>
      </c>
      <c r="AJ27" s="17" t="n">
        <v>0.5</v>
      </c>
      <c r="AK27" s="17" t="n">
        <v>0.5</v>
      </c>
      <c r="AL27" s="17" t="n">
        <v>0.5</v>
      </c>
      <c r="AM27" s="17" t="n">
        <v>0.5</v>
      </c>
      <c r="AN27" s="17" t="n">
        <v>0.5</v>
      </c>
      <c r="AO27" s="17" t="n">
        <v>0.5</v>
      </c>
      <c r="AP27" s="17" t="n">
        <v>0.5</v>
      </c>
      <c r="AQ27" s="17" t="n">
        <v>0.5</v>
      </c>
      <c r="AR27" s="17" t="n">
        <v>0.5</v>
      </c>
      <c r="AS27" s="17" t="n">
        <v>0.5</v>
      </c>
      <c r="AT27" s="17" t="n">
        <v>0.5</v>
      </c>
      <c r="AU27" s="17" t="n">
        <v>0.5</v>
      </c>
      <c r="AV27" s="17" t="n">
        <v>0.5</v>
      </c>
      <c r="AW27" s="17" t="n">
        <v>0.5</v>
      </c>
      <c r="AX27" s="17" t="n">
        <v>0.5</v>
      </c>
      <c r="AY27" s="17" t="n">
        <v>0.5</v>
      </c>
      <c r="AZ27" s="17" t="n">
        <v>0.5</v>
      </c>
      <c r="BA27" s="17" t="n">
        <v>0.5</v>
      </c>
      <c r="BB27" s="17" t="n">
        <v>0.5</v>
      </c>
      <c r="BC27" s="17" t="n">
        <v>0.5</v>
      </c>
      <c r="BD27" s="17" t="n">
        <v>0.5</v>
      </c>
      <c r="BE27" s="17" t="n">
        <v>0.5</v>
      </c>
      <c r="BF27" s="17" t="n">
        <v>0.5</v>
      </c>
      <c r="BG27" s="17" t="n">
        <v>0.5</v>
      </c>
      <c r="BH27" s="17" t="n">
        <v>0.5</v>
      </c>
      <c r="BI27" s="17" t="n">
        <v>0.5</v>
      </c>
      <c r="BJ27" s="17" t="n">
        <v>0.5</v>
      </c>
      <c r="BK27" s="17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4.25" zeroHeight="false" outlineLevelRow="0" outlineLevelCol="0"/>
  <cols>
    <col collapsed="false" customWidth="true" hidden="false" outlineLevel="0" max="1" min="1" style="17" width="12.21"/>
    <col collapsed="false" customWidth="true" hidden="false" outlineLevel="0" max="2" min="2" style="17" width="31.62"/>
    <col collapsed="false" customWidth="true" hidden="false" outlineLevel="0" max="3" min="3" style="17" width="29.35"/>
    <col collapsed="false" customWidth="true" hidden="false" outlineLevel="0" max="5" min="4" style="17" width="10.13"/>
    <col collapsed="false" customWidth="true" hidden="false" outlineLevel="0" max="7" min="6" style="17" width="10.45"/>
    <col collapsed="false" customWidth="false" hidden="false" outlineLevel="0" max="16384" min="8" style="17" width="9.14"/>
  </cols>
  <sheetData>
    <row r="1" customFormat="false" ht="14.25" hidden="false" customHeight="false" outlineLevel="0" collapsed="false">
      <c r="A1" s="18" t="s">
        <v>98</v>
      </c>
      <c r="B1" s="18" t="s">
        <v>99</v>
      </c>
      <c r="C1" s="18" t="s">
        <v>100</v>
      </c>
      <c r="D1" s="18" t="s">
        <v>101</v>
      </c>
      <c r="E1" s="18" t="s">
        <v>175</v>
      </c>
      <c r="F1" s="18" t="s">
        <v>18</v>
      </c>
      <c r="G1" s="18" t="s">
        <v>19</v>
      </c>
    </row>
    <row r="2" customFormat="false" ht="14.25" hidden="false" customHeight="false" outlineLevel="0" collapsed="false">
      <c r="A2" s="17" t="s">
        <v>66</v>
      </c>
      <c r="B2" s="17" t="s">
        <v>170</v>
      </c>
      <c r="C2" s="17" t="s">
        <v>171</v>
      </c>
      <c r="D2" s="17" t="s">
        <v>172</v>
      </c>
      <c r="E2" s="17" t="n">
        <v>120</v>
      </c>
      <c r="F2" s="19" t="n">
        <v>46111</v>
      </c>
      <c r="G2" s="19" t="n">
        <v>46441</v>
      </c>
    </row>
    <row r="3" customFormat="false" ht="14.25" hidden="false" customHeight="false" outlineLevel="0" collapsed="false">
      <c r="A3" s="17" t="s">
        <v>66</v>
      </c>
      <c r="B3" s="17" t="s">
        <v>170</v>
      </c>
      <c r="C3" s="17" t="s">
        <v>173</v>
      </c>
      <c r="D3" s="17" t="s">
        <v>174</v>
      </c>
      <c r="E3" s="17" t="n">
        <v>23.7</v>
      </c>
      <c r="F3" s="19" t="n">
        <v>46111</v>
      </c>
      <c r="G3" s="19" t="n">
        <v>46441</v>
      </c>
    </row>
    <row r="4" customFormat="false" ht="14.25" hidden="false" customHeight="false" outlineLevel="0" collapsed="false">
      <c r="A4" s="17" t="s">
        <v>150</v>
      </c>
      <c r="B4" s="17" t="s">
        <v>151</v>
      </c>
      <c r="C4" s="17" t="s">
        <v>152</v>
      </c>
      <c r="D4" s="17" t="s">
        <v>153</v>
      </c>
      <c r="E4" s="17" t="n">
        <v>90</v>
      </c>
      <c r="F4" s="19" t="n">
        <v>46111</v>
      </c>
      <c r="G4" s="19" t="n">
        <v>46441</v>
      </c>
    </row>
    <row r="5" customFormat="false" ht="14.25" hidden="false" customHeight="false" outlineLevel="0" collapsed="false">
      <c r="A5" s="17" t="s">
        <v>150</v>
      </c>
      <c r="B5" s="17" t="s">
        <v>151</v>
      </c>
      <c r="C5" s="17" t="s">
        <v>163</v>
      </c>
      <c r="D5" s="17" t="s">
        <v>153</v>
      </c>
      <c r="E5" s="17" t="n">
        <v>92.5</v>
      </c>
      <c r="F5" s="19" t="n">
        <v>46184</v>
      </c>
      <c r="G5" s="19" t="n">
        <v>46435</v>
      </c>
    </row>
    <row r="6" customFormat="false" ht="14.25" hidden="false" customHeight="false" outlineLevel="0" collapsed="false">
      <c r="A6" s="17" t="s">
        <v>150</v>
      </c>
      <c r="B6" s="17" t="s">
        <v>151</v>
      </c>
      <c r="C6" s="17" t="s">
        <v>154</v>
      </c>
      <c r="D6" s="17" t="s">
        <v>155</v>
      </c>
      <c r="E6" s="17" t="n">
        <v>142.5</v>
      </c>
      <c r="F6" s="19" t="n">
        <v>46125</v>
      </c>
      <c r="G6" s="19" t="n">
        <v>46308</v>
      </c>
    </row>
    <row r="7" customFormat="false" ht="14.25" hidden="false" customHeight="false" outlineLevel="0" collapsed="false">
      <c r="A7" s="17" t="s">
        <v>156</v>
      </c>
      <c r="B7" s="17" t="s">
        <v>157</v>
      </c>
      <c r="C7" s="17" t="s">
        <v>158</v>
      </c>
      <c r="D7" s="17" t="s">
        <v>159</v>
      </c>
      <c r="E7" s="17" t="n">
        <v>68</v>
      </c>
      <c r="F7" s="19" t="n">
        <v>46175</v>
      </c>
      <c r="G7" s="19" t="n">
        <v>46435</v>
      </c>
    </row>
    <row r="8" customFormat="false" ht="14.25" hidden="false" customHeight="false" outlineLevel="0" collapsed="false">
      <c r="A8" s="17" t="s">
        <v>160</v>
      </c>
      <c r="B8" s="17" t="s">
        <v>161</v>
      </c>
      <c r="C8" s="17" t="s">
        <v>162</v>
      </c>
      <c r="D8" s="17" t="s">
        <v>159</v>
      </c>
      <c r="E8" s="17" t="n">
        <v>288</v>
      </c>
      <c r="F8" s="19" t="n">
        <v>46184</v>
      </c>
      <c r="G8" s="19" t="n">
        <v>46419</v>
      </c>
    </row>
    <row r="9" customFormat="false" ht="14.25" hidden="false" customHeight="false" outlineLevel="0" collapsed="false">
      <c r="A9" s="17" t="s">
        <v>164</v>
      </c>
      <c r="B9" s="17" t="s">
        <v>165</v>
      </c>
      <c r="C9" s="17" t="s">
        <v>166</v>
      </c>
      <c r="D9" s="17" t="s">
        <v>159</v>
      </c>
      <c r="E9" s="17" t="n">
        <v>40</v>
      </c>
      <c r="F9" s="19" t="n">
        <v>46149</v>
      </c>
      <c r="G9" s="19" t="n">
        <v>46204</v>
      </c>
    </row>
    <row r="10" customFormat="false" ht="14.25" hidden="false" customHeight="false" outlineLevel="0" collapsed="false">
      <c r="A10" s="17" t="s">
        <v>167</v>
      </c>
      <c r="B10" s="17" t="s">
        <v>168</v>
      </c>
      <c r="C10" s="17" t="s">
        <v>169</v>
      </c>
      <c r="D10" s="17" t="s">
        <v>159</v>
      </c>
      <c r="E10" s="17" t="n">
        <v>20</v>
      </c>
      <c r="F10" s="19" t="n">
        <v>46423</v>
      </c>
      <c r="G10" s="19" t="n">
        <v>46441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4.25" zeroHeight="false" outlineLevelRow="0" outlineLevelCol="0"/>
  <cols>
    <col collapsed="false" customWidth="true" hidden="false" outlineLevel="0" max="1" min="1" style="17" width="9.93"/>
    <col collapsed="false" customWidth="true" hidden="false" outlineLevel="0" max="2" min="2" style="17" width="26.37"/>
    <col collapsed="false" customWidth="true" hidden="false" outlineLevel="0" max="3" min="3" style="17" width="27.15"/>
    <col collapsed="false" customWidth="false" hidden="false" outlineLevel="0" max="4" min="4" style="17" width="9.15"/>
    <col collapsed="false" customWidth="true" hidden="false" outlineLevel="0" max="5" min="5" style="17" width="10.77"/>
    <col collapsed="false" customWidth="true" hidden="false" outlineLevel="0" max="6" min="6" style="17" width="10.13"/>
    <col collapsed="false" customWidth="true" hidden="false" outlineLevel="0" max="7" min="7" style="17" width="3.31"/>
    <col collapsed="false" customWidth="true" hidden="false" outlineLevel="0" max="8" min="8" style="17" width="18.83"/>
    <col collapsed="false" customWidth="true" hidden="false" outlineLevel="0" max="9" min="9" style="17" width="10"/>
    <col collapsed="false" customWidth="true" hidden="false" outlineLevel="0" max="20" min="10" style="17" width="6.68"/>
    <col collapsed="false" customWidth="false" hidden="false" outlineLevel="0" max="16384" min="21" style="17" width="9.14"/>
  </cols>
  <sheetData>
    <row r="1" customFormat="false" ht="14.25" hidden="false" customHeight="false" outlineLevel="0" collapsed="false">
      <c r="A1" s="20" t="s">
        <v>98</v>
      </c>
      <c r="B1" s="20" t="s">
        <v>99</v>
      </c>
      <c r="C1" s="20" t="s">
        <v>100</v>
      </c>
      <c r="D1" s="20" t="s">
        <v>101</v>
      </c>
      <c r="E1" s="20" t="s">
        <v>11</v>
      </c>
      <c r="F1" s="20" t="s">
        <v>13</v>
      </c>
      <c r="G1" s="20" t="s">
        <v>14</v>
      </c>
      <c r="H1" s="20" t="s">
        <v>17</v>
      </c>
      <c r="I1" s="20" t="s">
        <v>175</v>
      </c>
      <c r="J1" s="20" t="s">
        <v>176</v>
      </c>
      <c r="K1" s="20" t="s">
        <v>177</v>
      </c>
      <c r="L1" s="20" t="s">
        <v>178</v>
      </c>
      <c r="M1" s="20" t="s">
        <v>179</v>
      </c>
      <c r="N1" s="20" t="s">
        <v>180</v>
      </c>
      <c r="O1" s="20" t="s">
        <v>181</v>
      </c>
      <c r="P1" s="20" t="s">
        <v>182</v>
      </c>
      <c r="Q1" s="20" t="s">
        <v>183</v>
      </c>
      <c r="R1" s="20" t="s">
        <v>184</v>
      </c>
      <c r="S1" s="20" t="s">
        <v>185</v>
      </c>
      <c r="T1" s="20" t="s">
        <v>186</v>
      </c>
    </row>
    <row r="2" customFormat="false" ht="14.25" hidden="false" customHeight="false" outlineLevel="0" collapsed="false">
      <c r="A2" s="17" t="s">
        <v>66</v>
      </c>
      <c r="B2" s="17" t="s">
        <v>170</v>
      </c>
      <c r="C2" s="17" t="s">
        <v>171</v>
      </c>
      <c r="D2" s="17" t="s">
        <v>172</v>
      </c>
      <c r="E2" s="17" t="s">
        <v>87</v>
      </c>
      <c r="F2" s="17" t="s">
        <v>27</v>
      </c>
      <c r="G2" s="17" t="s">
        <v>28</v>
      </c>
      <c r="H2" s="17" t="s">
        <v>187</v>
      </c>
      <c r="I2" s="17" t="n">
        <v>120</v>
      </c>
      <c r="J2" s="17" t="n">
        <v>12.5</v>
      </c>
      <c r="K2" s="17" t="n">
        <v>10</v>
      </c>
      <c r="L2" s="17" t="n">
        <v>10</v>
      </c>
      <c r="M2" s="17" t="n">
        <v>12.5</v>
      </c>
      <c r="N2" s="17" t="n">
        <v>10</v>
      </c>
      <c r="O2" s="17" t="n">
        <v>10</v>
      </c>
      <c r="P2" s="17" t="n">
        <v>12.5</v>
      </c>
      <c r="Q2" s="17" t="n">
        <v>10</v>
      </c>
      <c r="R2" s="17" t="n">
        <v>12.5</v>
      </c>
      <c r="S2" s="17" t="n">
        <v>10</v>
      </c>
      <c r="T2" s="17" t="n">
        <v>10</v>
      </c>
    </row>
    <row r="3" customFormat="false" ht="14.25" hidden="false" customHeight="false" outlineLevel="0" collapsed="false">
      <c r="A3" s="17" t="s">
        <v>66</v>
      </c>
      <c r="B3" s="17" t="s">
        <v>170</v>
      </c>
      <c r="C3" s="17" t="s">
        <v>173</v>
      </c>
      <c r="D3" s="17" t="s">
        <v>174</v>
      </c>
      <c r="E3" s="17" t="s">
        <v>90</v>
      </c>
      <c r="F3" s="17" t="s">
        <v>27</v>
      </c>
      <c r="G3" s="17" t="s">
        <v>28</v>
      </c>
      <c r="H3" s="17" t="s">
        <v>188</v>
      </c>
      <c r="I3" s="17" t="n">
        <v>23.7</v>
      </c>
      <c r="J3" s="17" t="n">
        <v>2.4</v>
      </c>
      <c r="K3" s="17" t="n">
        <v>2</v>
      </c>
      <c r="L3" s="17" t="n">
        <v>2</v>
      </c>
      <c r="M3" s="17" t="n">
        <v>2.5</v>
      </c>
      <c r="N3" s="17" t="n">
        <v>2</v>
      </c>
      <c r="O3" s="17" t="n">
        <v>2</v>
      </c>
      <c r="P3" s="17" t="n">
        <v>2.5</v>
      </c>
      <c r="Q3" s="17" t="n">
        <v>2</v>
      </c>
      <c r="R3" s="17" t="n">
        <v>2.5</v>
      </c>
      <c r="S3" s="17" t="n">
        <v>2</v>
      </c>
      <c r="T3" s="17" t="n">
        <v>1.8</v>
      </c>
    </row>
    <row r="4" customFormat="false" ht="14.25" hidden="false" customHeight="false" outlineLevel="0" collapsed="false">
      <c r="A4" s="17" t="s">
        <v>150</v>
      </c>
      <c r="B4" s="17" t="s">
        <v>151</v>
      </c>
      <c r="C4" s="17" t="s">
        <v>152</v>
      </c>
      <c r="D4" s="17" t="s">
        <v>153</v>
      </c>
      <c r="E4" s="17" t="s">
        <v>25</v>
      </c>
      <c r="F4" s="17" t="s">
        <v>27</v>
      </c>
      <c r="G4" s="17" t="s">
        <v>28</v>
      </c>
      <c r="H4" s="17" t="s">
        <v>189</v>
      </c>
      <c r="I4" s="17" t="n">
        <v>90</v>
      </c>
      <c r="J4" s="17" t="n">
        <v>25</v>
      </c>
      <c r="K4" s="17" t="n">
        <v>5</v>
      </c>
      <c r="M4" s="17" t="n">
        <v>12.5</v>
      </c>
      <c r="N4" s="17" t="n">
        <v>10</v>
      </c>
      <c r="O4" s="17" t="n">
        <v>5</v>
      </c>
      <c r="P4" s="17" t="n">
        <v>6.25</v>
      </c>
      <c r="Q4" s="17" t="n">
        <v>5</v>
      </c>
      <c r="R4" s="17" t="n">
        <v>6.25</v>
      </c>
      <c r="S4" s="17" t="n">
        <v>5</v>
      </c>
      <c r="T4" s="17" t="n">
        <v>10</v>
      </c>
    </row>
    <row r="5" customFormat="false" ht="14.25" hidden="false" customHeight="false" outlineLevel="0" collapsed="false">
      <c r="A5" s="17" t="s">
        <v>150</v>
      </c>
      <c r="B5" s="17" t="s">
        <v>151</v>
      </c>
      <c r="C5" s="17" t="s">
        <v>163</v>
      </c>
      <c r="D5" s="17" t="s">
        <v>153</v>
      </c>
      <c r="E5" s="17" t="s">
        <v>25</v>
      </c>
      <c r="F5" s="17" t="s">
        <v>27</v>
      </c>
      <c r="G5" s="17" t="s">
        <v>28</v>
      </c>
      <c r="H5" s="17" t="s">
        <v>55</v>
      </c>
      <c r="I5" s="17" t="n">
        <v>92.5</v>
      </c>
      <c r="L5" s="17" t="n">
        <v>10</v>
      </c>
      <c r="M5" s="17" t="n">
        <v>12.5</v>
      </c>
      <c r="N5" s="17" t="n">
        <v>10</v>
      </c>
      <c r="O5" s="17" t="n">
        <v>10</v>
      </c>
      <c r="P5" s="17" t="n">
        <v>12.5</v>
      </c>
      <c r="Q5" s="17" t="n">
        <v>10</v>
      </c>
      <c r="R5" s="17" t="n">
        <v>12.5</v>
      </c>
      <c r="S5" s="17" t="n">
        <v>10</v>
      </c>
      <c r="T5" s="17" t="n">
        <v>5</v>
      </c>
    </row>
    <row r="6" customFormat="false" ht="14.25" hidden="false" customHeight="false" outlineLevel="0" collapsed="false">
      <c r="A6" s="17" t="s">
        <v>150</v>
      </c>
      <c r="B6" s="17" t="s">
        <v>151</v>
      </c>
      <c r="C6" s="17" t="s">
        <v>154</v>
      </c>
      <c r="D6" s="17" t="s">
        <v>155</v>
      </c>
      <c r="E6" s="17" t="s">
        <v>35</v>
      </c>
      <c r="F6" s="17" t="s">
        <v>36</v>
      </c>
      <c r="G6" s="17" t="s">
        <v>37</v>
      </c>
      <c r="H6" s="17" t="s">
        <v>190</v>
      </c>
      <c r="I6" s="17" t="n">
        <v>142.5</v>
      </c>
      <c r="J6" s="17" t="n">
        <v>18.75</v>
      </c>
      <c r="K6" s="17" t="n">
        <v>20</v>
      </c>
      <c r="L6" s="17" t="n">
        <v>20</v>
      </c>
      <c r="M6" s="17" t="n">
        <v>25</v>
      </c>
      <c r="N6" s="17" t="n">
        <v>20</v>
      </c>
      <c r="O6" s="17" t="n">
        <v>20</v>
      </c>
      <c r="P6" s="17" t="n">
        <v>18.75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4.25" zeroHeight="false" outlineLevelRow="0" outlineLevelCol="0"/>
  <cols>
    <col collapsed="false" customWidth="true" hidden="false" outlineLevel="0" max="1" min="1" style="17" width="11.23"/>
    <col collapsed="false" customWidth="true" hidden="false" outlineLevel="0" max="2" min="2" style="17" width="29.67"/>
    <col collapsed="false" customWidth="true" hidden="false" outlineLevel="0" max="3" min="3" style="17" width="25.58"/>
    <col collapsed="false" customWidth="true" hidden="false" outlineLevel="0" max="4" min="4" style="17" width="6.29"/>
    <col collapsed="false" customWidth="true" hidden="false" outlineLevel="0" max="5" min="5" style="17" width="7.85"/>
    <col collapsed="false" customWidth="true" hidden="false" outlineLevel="0" max="6" min="6" style="17" width="6.23"/>
    <col collapsed="false" customWidth="true" hidden="false" outlineLevel="0" max="7" min="7" style="17" width="86.1"/>
    <col collapsed="false" customWidth="true" hidden="false" outlineLevel="0" max="8" min="8" style="17" width="9.87"/>
    <col collapsed="false" customWidth="true" hidden="false" outlineLevel="0" max="9" min="9" style="17" width="3.31"/>
    <col collapsed="false" customWidth="true" hidden="false" outlineLevel="0" max="10" min="10" style="17" width="4.67"/>
    <col collapsed="false" customWidth="true" hidden="false" outlineLevel="0" max="11" min="11" style="17" width="10"/>
    <col collapsed="false" customWidth="true" hidden="false" outlineLevel="0" max="22" min="12" style="17" width="6.68"/>
    <col collapsed="false" customWidth="false" hidden="false" outlineLevel="0" max="16384" min="23" style="17" width="9.14"/>
  </cols>
  <sheetData>
    <row r="1" customFormat="false" ht="14.25" hidden="false" customHeight="false" outlineLevel="0" collapsed="false">
      <c r="A1" s="20" t="s">
        <v>98</v>
      </c>
      <c r="B1" s="20" t="s">
        <v>99</v>
      </c>
      <c r="C1" s="20" t="s">
        <v>100</v>
      </c>
      <c r="D1" s="20" t="s">
        <v>101</v>
      </c>
      <c r="E1" s="20" t="s">
        <v>11</v>
      </c>
      <c r="F1" s="20" t="s">
        <v>2</v>
      </c>
      <c r="G1" s="20" t="s">
        <v>3</v>
      </c>
      <c r="H1" s="20" t="s">
        <v>4</v>
      </c>
      <c r="I1" s="20" t="s">
        <v>9</v>
      </c>
      <c r="J1" s="20" t="s">
        <v>6</v>
      </c>
      <c r="K1" s="20" t="s">
        <v>175</v>
      </c>
      <c r="L1" s="20" t="s">
        <v>176</v>
      </c>
      <c r="M1" s="20" t="s">
        <v>177</v>
      </c>
      <c r="N1" s="20" t="s">
        <v>178</v>
      </c>
      <c r="O1" s="20" t="s">
        <v>179</v>
      </c>
      <c r="P1" s="20" t="s">
        <v>180</v>
      </c>
      <c r="Q1" s="20" t="s">
        <v>181</v>
      </c>
      <c r="R1" s="20" t="s">
        <v>182</v>
      </c>
      <c r="S1" s="20" t="s">
        <v>183</v>
      </c>
      <c r="T1" s="20" t="s">
        <v>184</v>
      </c>
      <c r="U1" s="20" t="s">
        <v>185</v>
      </c>
      <c r="V1" s="20" t="s">
        <v>186</v>
      </c>
    </row>
    <row r="2" customFormat="false" ht="14.25" hidden="false" customHeight="false" outlineLevel="0" collapsed="false">
      <c r="A2" s="17" t="s">
        <v>156</v>
      </c>
      <c r="B2" s="17" t="s">
        <v>157</v>
      </c>
      <c r="C2" s="17" t="s">
        <v>158</v>
      </c>
      <c r="D2" s="17" t="s">
        <v>159</v>
      </c>
      <c r="E2" s="17" t="s">
        <v>44</v>
      </c>
      <c r="F2" s="17" t="s">
        <v>30</v>
      </c>
      <c r="G2" s="17" t="s">
        <v>41</v>
      </c>
      <c r="H2" s="17" t="s">
        <v>42</v>
      </c>
      <c r="I2" s="17" t="n">
        <v>1</v>
      </c>
      <c r="J2" s="17" t="n">
        <v>4</v>
      </c>
      <c r="K2" s="17" t="n">
        <v>4</v>
      </c>
      <c r="N2" s="17" t="n">
        <v>1</v>
      </c>
    </row>
    <row r="3" customFormat="false" ht="14.25" hidden="false" customHeight="false" outlineLevel="0" collapsed="false">
      <c r="A3" s="17" t="s">
        <v>156</v>
      </c>
      <c r="B3" s="17" t="s">
        <v>157</v>
      </c>
      <c r="C3" s="17" t="s">
        <v>158</v>
      </c>
      <c r="D3" s="17" t="s">
        <v>159</v>
      </c>
      <c r="E3" s="17" t="s">
        <v>44</v>
      </c>
      <c r="F3" s="17" t="s">
        <v>30</v>
      </c>
      <c r="G3" s="17" t="s">
        <v>70</v>
      </c>
      <c r="H3" s="17" t="s">
        <v>71</v>
      </c>
      <c r="I3" s="17" t="n">
        <v>2</v>
      </c>
      <c r="J3" s="17" t="n">
        <v>2</v>
      </c>
      <c r="K3" s="17" t="n">
        <v>4</v>
      </c>
      <c r="V3" s="17" t="n">
        <v>2</v>
      </c>
    </row>
    <row r="4" customFormat="false" ht="14.25" hidden="false" customHeight="false" outlineLevel="0" collapsed="false">
      <c r="A4" s="17" t="s">
        <v>156</v>
      </c>
      <c r="B4" s="17" t="s">
        <v>157</v>
      </c>
      <c r="C4" s="17" t="s">
        <v>158</v>
      </c>
      <c r="D4" s="17" t="s">
        <v>159</v>
      </c>
      <c r="E4" s="17" t="s">
        <v>44</v>
      </c>
      <c r="F4" s="17" t="s">
        <v>30</v>
      </c>
      <c r="G4" s="17" t="s">
        <v>46</v>
      </c>
      <c r="H4" s="17" t="s">
        <v>47</v>
      </c>
      <c r="I4" s="17" t="n">
        <v>18</v>
      </c>
      <c r="J4" s="17" t="n">
        <v>3</v>
      </c>
      <c r="K4" s="17" t="n">
        <v>54</v>
      </c>
      <c r="N4" s="17" t="n">
        <v>2</v>
      </c>
      <c r="O4" s="17" t="n">
        <v>13</v>
      </c>
      <c r="P4" s="17" t="n">
        <v>3</v>
      </c>
    </row>
    <row r="5" customFormat="false" ht="14.25" hidden="false" customHeight="false" outlineLevel="0" collapsed="false">
      <c r="A5" s="17" t="s">
        <v>156</v>
      </c>
      <c r="B5" s="17" t="s">
        <v>157</v>
      </c>
      <c r="C5" s="17" t="s">
        <v>158</v>
      </c>
      <c r="D5" s="17" t="s">
        <v>159</v>
      </c>
      <c r="E5" s="17" t="s">
        <v>44</v>
      </c>
      <c r="F5" s="17" t="s">
        <v>30</v>
      </c>
      <c r="G5" s="17" t="s">
        <v>73</v>
      </c>
      <c r="H5" s="17" t="s">
        <v>74</v>
      </c>
      <c r="I5" s="17" t="n">
        <v>2</v>
      </c>
      <c r="J5" s="17" t="n">
        <v>3</v>
      </c>
      <c r="K5" s="17" t="n">
        <v>6</v>
      </c>
      <c r="V5" s="17" t="n">
        <v>2</v>
      </c>
    </row>
    <row r="6" customFormat="false" ht="14.25" hidden="false" customHeight="false" outlineLevel="0" collapsed="false">
      <c r="A6" s="17" t="s">
        <v>160</v>
      </c>
      <c r="B6" s="17" t="s">
        <v>161</v>
      </c>
      <c r="C6" s="17" t="s">
        <v>162</v>
      </c>
      <c r="D6" s="17" t="s">
        <v>159</v>
      </c>
      <c r="E6" s="17" t="s">
        <v>44</v>
      </c>
      <c r="F6" s="17" t="s">
        <v>30</v>
      </c>
      <c r="G6" s="17" t="s">
        <v>49</v>
      </c>
      <c r="H6" s="17" t="s">
        <v>50</v>
      </c>
      <c r="I6" s="17" t="n">
        <v>18</v>
      </c>
      <c r="J6" s="17" t="n">
        <v>16</v>
      </c>
      <c r="K6" s="17" t="n">
        <v>288</v>
      </c>
      <c r="N6" s="17" t="n">
        <v>1</v>
      </c>
      <c r="O6" s="17" t="n">
        <v>1</v>
      </c>
      <c r="P6" s="17" t="n">
        <v>2</v>
      </c>
      <c r="Q6" s="17" t="n">
        <v>2</v>
      </c>
      <c r="R6" s="17" t="n">
        <v>3</v>
      </c>
      <c r="S6" s="17" t="n">
        <v>2</v>
      </c>
      <c r="T6" s="17" t="n">
        <v>3</v>
      </c>
      <c r="U6" s="17" t="n">
        <v>2</v>
      </c>
      <c r="V6" s="17" t="n">
        <v>1</v>
      </c>
    </row>
    <row r="7" customFormat="false" ht="14.25" hidden="false" customHeight="false" outlineLevel="0" collapsed="false">
      <c r="A7" s="17" t="s">
        <v>164</v>
      </c>
      <c r="B7" s="17" t="s">
        <v>165</v>
      </c>
      <c r="C7" s="17" t="s">
        <v>166</v>
      </c>
      <c r="D7" s="17" t="s">
        <v>159</v>
      </c>
      <c r="E7" s="17" t="s">
        <v>44</v>
      </c>
      <c r="F7" s="17" t="s">
        <v>30</v>
      </c>
      <c r="G7" s="17" t="s">
        <v>61</v>
      </c>
      <c r="H7" s="17" t="s">
        <v>62</v>
      </c>
      <c r="I7" s="17" t="n">
        <v>2</v>
      </c>
      <c r="J7" s="17" t="n">
        <v>20</v>
      </c>
      <c r="K7" s="17" t="n">
        <v>40</v>
      </c>
      <c r="M7" s="17" t="n">
        <v>1</v>
      </c>
      <c r="N7" s="17" t="n">
        <v>1</v>
      </c>
    </row>
    <row r="8" customFormat="false" ht="14.25" hidden="false" customHeight="false" outlineLevel="0" collapsed="false">
      <c r="A8" s="17" t="s">
        <v>167</v>
      </c>
      <c r="B8" s="17" t="s">
        <v>168</v>
      </c>
      <c r="C8" s="17" t="s">
        <v>169</v>
      </c>
      <c r="D8" s="17" t="s">
        <v>159</v>
      </c>
      <c r="E8" s="17" t="s">
        <v>44</v>
      </c>
      <c r="F8" s="17" t="s">
        <v>30</v>
      </c>
      <c r="G8" s="17" t="s">
        <v>75</v>
      </c>
      <c r="H8" s="17" t="s">
        <v>76</v>
      </c>
      <c r="I8" s="17" t="n">
        <v>2</v>
      </c>
      <c r="J8" s="17" t="n">
        <v>10</v>
      </c>
      <c r="K8" s="17" t="n">
        <v>20</v>
      </c>
      <c r="V8" s="17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2025-05-07T23:48:00Z</dcterms:created>
  <dc:creator>rioujin</dc:creator>
  <dc:description/>
  <dc:language>en-US</dc:language>
  <cp:lastModifiedBy/>
  <dcterms:modified xsi:type="dcterms:W3CDTF">2026-03-02T17:33:12Z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1033-11.1.0.11720</vt:lpwstr>
  </property>
</Properties>
</file>